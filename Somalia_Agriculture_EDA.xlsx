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CodeAlpha\"/>
    </mc:Choice>
  </mc:AlternateContent>
  <bookViews>
    <workbookView xWindow="0" yWindow="0" windowWidth="20490" windowHeight="7620" firstSheet="1" activeTab="3"/>
  </bookViews>
  <sheets>
    <sheet name="FAOSTAT_data_en_10-11-2026" sheetId="1" r:id="rId1"/>
    <sheet name="Research_Questions" sheetId="4" r:id="rId2"/>
    <sheet name="Pivot table" sheetId="3" r:id="rId3"/>
    <sheet name="EDA Findings" sheetId="2" r:id="rId4"/>
    <sheet name="Yearly_Production" sheetId="5" r:id="rId5"/>
  </sheets>
  <calcPr calcId="162913"/>
  <pivotCaches>
    <pivotCache cacheId="0" r:id="rId6"/>
  </pivotCaches>
</workbook>
</file>

<file path=xl/calcChain.xml><?xml version="1.0" encoding="utf-8"?>
<calcChain xmlns="http://schemas.openxmlformats.org/spreadsheetml/2006/main">
  <c r="D7" i="5" l="1"/>
  <c r="D5" i="5"/>
  <c r="C20" i="2"/>
  <c r="D20" i="2" s="1"/>
  <c r="D19" i="2" l="1"/>
  <c r="D18" i="2"/>
  <c r="D17" i="2"/>
</calcChain>
</file>

<file path=xl/sharedStrings.xml><?xml version="1.0" encoding="utf-8"?>
<sst xmlns="http://schemas.openxmlformats.org/spreadsheetml/2006/main" count="953" uniqueCount="95">
  <si>
    <t>Domain Code</t>
  </si>
  <si>
    <t>Domain</t>
  </si>
  <si>
    <t>Area Code (M49)</t>
  </si>
  <si>
    <t>Area</t>
  </si>
  <si>
    <t>Element Code</t>
  </si>
  <si>
    <t>Element</t>
  </si>
  <si>
    <t>Item Code (CPC)</t>
  </si>
  <si>
    <t>Item</t>
  </si>
  <si>
    <t>Year Code</t>
  </si>
  <si>
    <t>Year</t>
  </si>
  <si>
    <t>Unit</t>
  </si>
  <si>
    <t>Value</t>
  </si>
  <si>
    <t>Flag</t>
  </si>
  <si>
    <t>Flag Description</t>
  </si>
  <si>
    <t>Note</t>
  </si>
  <si>
    <t>QCL</t>
  </si>
  <si>
    <t>Crops and livestock products</t>
  </si>
  <si>
    <t>Somalia</t>
  </si>
  <si>
    <t>Area harvested</t>
  </si>
  <si>
    <t>Maize (corn)</t>
  </si>
  <si>
    <t>ha</t>
  </si>
  <si>
    <t>X</t>
  </si>
  <si>
    <t>Value from external organization</t>
  </si>
  <si>
    <t>Unofficial figure</t>
  </si>
  <si>
    <t>Yield</t>
  </si>
  <si>
    <t>kg/ha</t>
  </si>
  <si>
    <t>Production</t>
  </si>
  <si>
    <t>t</t>
  </si>
  <si>
    <t>Rice</t>
  </si>
  <si>
    <t>I</t>
  </si>
  <si>
    <t>Value imputed by a receiving agency</t>
  </si>
  <si>
    <t>E</t>
  </si>
  <si>
    <t>Estimated value</t>
  </si>
  <si>
    <t>Sorghum</t>
  </si>
  <si>
    <t>Data Quality Check</t>
  </si>
  <si>
    <t>Missing Values</t>
  </si>
  <si>
    <t>Exact duplicate rows</t>
  </si>
  <si>
    <t>Year data type</t>
  </si>
  <si>
    <t>Value data type</t>
  </si>
  <si>
    <t>Result</t>
  </si>
  <si>
    <r>
      <t xml:space="preserve">41 in </t>
    </r>
    <r>
      <rPr>
        <sz val="10"/>
        <color theme="1"/>
        <rFont val="Arial Unicode MS"/>
      </rPr>
      <t>Note</t>
    </r>
    <r>
      <rPr>
        <sz val="11"/>
        <color theme="1"/>
        <rFont val="Calibri"/>
        <family val="2"/>
        <scheme val="minor"/>
      </rPr>
      <t>; 0 elsewhere</t>
    </r>
  </si>
  <si>
    <t>Number</t>
  </si>
  <si>
    <t>Interpretation</t>
  </si>
  <si>
    <t>No exact duplicates detected</t>
  </si>
  <si>
    <t>Suitable for year-based analysis</t>
  </si>
  <si>
    <t>Suitable for numerical analysis</t>
  </si>
  <si>
    <t>Grand Total</t>
  </si>
  <si>
    <t>Sum of Value</t>
  </si>
  <si>
    <t>(All)</t>
  </si>
  <si>
    <t>Finding One</t>
  </si>
  <si>
    <t>Finding Two</t>
  </si>
  <si>
    <t>Crop</t>
  </si>
  <si>
    <t>Production (Tonnes)</t>
  </si>
  <si>
    <t>Share of total</t>
  </si>
  <si>
    <t>Observation</t>
  </si>
  <si>
    <t>Finding</t>
  </si>
  <si>
    <t>Highest production</t>
  </si>
  <si>
    <t>Second highest</t>
  </si>
  <si>
    <t>Lowest production</t>
  </si>
  <si>
    <t>Main insight</t>
  </si>
  <si>
    <t>Sorghum and maize account for approximately 99.1% of the combined production of these three crops.</t>
  </si>
  <si>
    <t>No.</t>
  </si>
  <si>
    <t>Research Question</t>
  </si>
  <si>
    <t>Purpose</t>
  </si>
  <si>
    <t>Which crop had the highest production in Somalia between 2013 and 2023?</t>
  </si>
  <si>
    <t>To compare total production across crops.</t>
  </si>
  <si>
    <t>What proportion of the combined production came from each selected crop?</t>
  </si>
  <si>
    <t>Are there unusual values, missing data, or inconsistencies in the dataset?</t>
  </si>
  <si>
    <t>To identify trends over time.</t>
  </si>
  <si>
    <t>To identify peaks and declines in production.</t>
  </si>
  <si>
    <t>To compare the contribution of each crop.</t>
  </si>
  <si>
    <t>To assess data quality and reliability.</t>
  </si>
  <si>
    <t>To investigate a hypothesis using yearly production data.</t>
  </si>
  <si>
    <t>Percentage Decrease</t>
  </si>
  <si>
    <t>Trend Slope</t>
  </si>
  <si>
    <t>Analysis</t>
  </si>
  <si>
    <t>Percentage change</t>
  </si>
  <si>
    <t>Trend slope</t>
  </si>
  <si>
    <t>Hypothesis</t>
  </si>
  <si>
    <t>−69.2%</t>
  </si>
  <si>
    <t>−11,762.55</t>
  </si>
  <si>
    <t>Supported by the observed trend</t>
  </si>
  <si>
    <t>Production was lower in 2023 than in 2013</t>
  </si>
  <si>
    <t>Overall downward trend in production</t>
  </si>
  <si>
    <t>Sorghum production generally declined over the study period</t>
  </si>
  <si>
    <t>Does the data suggest that sorghum production declined over the study period?</t>
  </si>
  <si>
    <t>Reporting flags</t>
  </si>
  <si>
    <t>87 external organization, 6 imputed, 6 estimated</t>
  </si>
  <si>
    <t>How did sorghum production change over the period 2013 to 2023?</t>
  </si>
  <si>
    <t>Which year recorded the highest and lowest sorghum production?</t>
  </si>
  <si>
    <t>Metric</t>
  </si>
  <si>
    <t>Sorghum Production (tonnes)</t>
  </si>
  <si>
    <t>Sorghum production declined overall during 2013–2023.</t>
  </si>
  <si>
    <t>41 records have blank Note fields. These blanks do not necessarily indicate missing production, area, or yield values. Further investigation is needed to determine their meaning.</t>
  </si>
  <si>
    <t>The dataset contains 87 records marked as external organization figures, 6 as imputed, and 6 as estimated. These reporting flags should be considered when interpreting the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</si>
</sst>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NumberFormat="1"/>
    <xf numFmtId="43" fontId="0" fillId="0" borderId="0" xfId="0" applyNumberFormat="1"/>
    <xf numFmtId="0" fontId="20" fillId="0" borderId="0" xfId="0" applyFont="1" applyAlignment="1">
      <alignment horizontal="center"/>
    </xf>
    <xf numFmtId="0" fontId="21" fillId="0" borderId="0" xfId="0" applyFont="1"/>
    <xf numFmtId="3" fontId="21" fillId="0" borderId="0" xfId="0" applyNumberFormat="1" applyFont="1"/>
    <xf numFmtId="9" fontId="21" fillId="0" borderId="0" xfId="1" applyFont="1"/>
    <xf numFmtId="4" fontId="21" fillId="0" borderId="0" xfId="0" applyNumberFormat="1" applyFont="1"/>
    <xf numFmtId="0" fontId="19" fillId="0" borderId="0" xfId="0" applyFont="1" applyAlignment="1">
      <alignment horizontal="center" vertical="center" wrapText="1"/>
    </xf>
    <xf numFmtId="164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[Tasktwo EDI.xlsx]Yearly_Production!PivotTable2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Sorghum Production in Somalia (2013–2023)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Yearly_Production!$B$4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Yearly_Production!$A$5:$A$15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Yearly_Production!$B$5:$B$15</c:f>
              <c:numCache>
                <c:formatCode>General</c:formatCode>
                <c:ptCount val="11"/>
                <c:pt idx="0">
                  <c:v>230776</c:v>
                </c:pt>
                <c:pt idx="1">
                  <c:v>148000</c:v>
                </c:pt>
                <c:pt idx="2">
                  <c:v>146000</c:v>
                </c:pt>
                <c:pt idx="3">
                  <c:v>80000</c:v>
                </c:pt>
                <c:pt idx="4">
                  <c:v>95000</c:v>
                </c:pt>
                <c:pt idx="5">
                  <c:v>130000</c:v>
                </c:pt>
                <c:pt idx="6">
                  <c:v>125000</c:v>
                </c:pt>
                <c:pt idx="7">
                  <c:v>100000</c:v>
                </c:pt>
                <c:pt idx="8">
                  <c:v>59000</c:v>
                </c:pt>
                <c:pt idx="9">
                  <c:v>72000</c:v>
                </c:pt>
                <c:pt idx="10">
                  <c:v>71000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9-4DEC-8DD1-C60263A0E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821232"/>
        <c:axId val="436817952"/>
      </c:lineChart>
      <c:catAx>
        <c:axId val="436821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17952"/>
        <c:crosses val="autoZero"/>
        <c:auto val="1"/>
        <c:lblAlgn val="ctr"/>
        <c:lblOffset val="100"/>
        <c:noMultiLvlLbl val="0"/>
      </c:catAx>
      <c:valAx>
        <c:axId val="43681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Tonnes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82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2</xdr:row>
      <xdr:rowOff>171450</xdr:rowOff>
    </xdr:from>
    <xdr:to>
      <xdr:col>11</xdr:col>
      <xdr:colOff>552450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306.389200578706" createdVersion="6" refreshedVersion="6" minRefreshableVersion="3" recordCount="99">
  <cacheSource type="worksheet">
    <worksheetSource name="Table1"/>
  </cacheSource>
  <cacheFields count="15">
    <cacheField name="Domain Code" numFmtId="0">
      <sharedItems/>
    </cacheField>
    <cacheField name="Domain" numFmtId="0">
      <sharedItems/>
    </cacheField>
    <cacheField name="Area Code (M49)" numFmtId="0">
      <sharedItems containsSemiMixedTypes="0" containsString="0" containsNumber="1" containsInteger="1" minValue="706" maxValue="706"/>
    </cacheField>
    <cacheField name="Area" numFmtId="0">
      <sharedItems/>
    </cacheField>
    <cacheField name="Element Code" numFmtId="0">
      <sharedItems containsSemiMixedTypes="0" containsString="0" containsNumber="1" containsInteger="1" minValue="5312" maxValue="5510"/>
    </cacheField>
    <cacheField name="Element" numFmtId="0">
      <sharedItems count="3">
        <s v="Area harvested"/>
        <s v="Yield"/>
        <s v="Production"/>
      </sharedItems>
    </cacheField>
    <cacheField name="Item Code (CPC)" numFmtId="0">
      <sharedItems containsSemiMixedTypes="0" containsString="0" containsNumber="1" containsInteger="1" minValue="112" maxValue="114"/>
    </cacheField>
    <cacheField name="Item" numFmtId="0">
      <sharedItems count="3">
        <s v="Maize (corn)"/>
        <s v="Rice"/>
        <s v="Sorghum"/>
      </sharedItems>
    </cacheField>
    <cacheField name="Year Code" numFmtId="0">
      <sharedItems containsSemiMixedTypes="0" containsString="0" containsNumber="1" containsInteger="1" minValue="2013" maxValue="2023"/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Unit" numFmtId="0">
      <sharedItems/>
    </cacheField>
    <cacheField name="Value" numFmtId="0">
      <sharedItems containsSemiMixedTypes="0" containsString="0" containsNumber="1" minValue="236" maxValue="274200" count="79">
        <n v="123556"/>
        <n v="1210"/>
        <n v="149497"/>
        <n v="163180"/>
        <n v="655.7"/>
        <n v="107000"/>
        <n v="189825"/>
        <n v="611.1"/>
        <n v="116000"/>
        <n v="108082"/>
        <n v="555.1"/>
        <n v="60000"/>
        <n v="100000"/>
        <n v="770"/>
        <n v="77000"/>
        <n v="93000"/>
        <n v="1096.8"/>
        <n v="102000"/>
        <n v="570"/>
        <n v="57000"/>
        <n v="750"/>
        <n v="75000"/>
        <n v="490"/>
        <n v="49000"/>
        <n v="650"/>
        <n v="65000"/>
        <n v="950"/>
        <n v="95000"/>
        <n v="1338"/>
        <n v="1472.3"/>
        <n v="1970"/>
        <n v="300"/>
        <n v="2000"/>
        <n v="600"/>
        <n v="1400"/>
        <n v="1750"/>
        <n v="2450"/>
        <n v="1833.3"/>
        <n v="1375"/>
        <n v="853"/>
        <n v="1727.4"/>
        <n v="1473.51"/>
        <n v="1001"/>
        <n v="1764.4"/>
        <n v="1766.17"/>
        <n v="998"/>
        <n v="2006.3"/>
        <n v="2002.59"/>
        <n v="1018"/>
        <n v="2049"/>
        <n v="2086.71"/>
        <n v="1000"/>
        <n v="270144"/>
        <n v="854.3"/>
        <n v="230776"/>
        <n v="274200"/>
        <n v="539.79999999999995"/>
        <n v="148000"/>
        <n v="253272"/>
        <n v="576.5"/>
        <n v="146000"/>
        <n v="169245"/>
        <n v="472.7"/>
        <n v="80000"/>
        <n v="241000"/>
        <n v="394.2"/>
        <n v="234000"/>
        <n v="555.6"/>
        <n v="130000"/>
        <n v="250000"/>
        <n v="500"/>
        <n v="125000"/>
        <n v="400"/>
        <n v="236"/>
        <n v="59000"/>
        <n v="288"/>
        <n v="72000"/>
        <n v="284"/>
        <n v="71000"/>
      </sharedItems>
    </cacheField>
    <cacheField name="Flag" numFmtId="0">
      <sharedItems/>
    </cacheField>
    <cacheField name="Flag Description" numFmtId="0">
      <sharedItems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s v="QCL"/>
    <s v="Crops and livestock products"/>
    <n v="706"/>
    <s v="Somalia"/>
    <n v="5312"/>
    <x v="0"/>
    <n v="112"/>
    <x v="0"/>
    <n v="2013"/>
    <x v="0"/>
    <s v="ha"/>
    <x v="0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3"/>
    <x v="0"/>
    <s v="kg/ha"/>
    <x v="1"/>
    <s v="X"/>
    <s v="Value from external organization"/>
    <m/>
  </r>
  <r>
    <s v="QCL"/>
    <s v="Crops and livestock products"/>
    <n v="706"/>
    <s v="Somalia"/>
    <n v="5510"/>
    <x v="2"/>
    <n v="112"/>
    <x v="0"/>
    <n v="2013"/>
    <x v="0"/>
    <s v="t"/>
    <x v="2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14"/>
    <x v="1"/>
    <s v="ha"/>
    <x v="3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4"/>
    <x v="1"/>
    <s v="kg/ha"/>
    <x v="4"/>
    <s v="X"/>
    <s v="Value from external organization"/>
    <m/>
  </r>
  <r>
    <s v="QCL"/>
    <s v="Crops and livestock products"/>
    <n v="706"/>
    <s v="Somalia"/>
    <n v="5510"/>
    <x v="2"/>
    <n v="112"/>
    <x v="0"/>
    <n v="2014"/>
    <x v="1"/>
    <s v="t"/>
    <x v="5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15"/>
    <x v="2"/>
    <s v="ha"/>
    <x v="6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5"/>
    <x v="2"/>
    <s v="kg/ha"/>
    <x v="7"/>
    <s v="X"/>
    <s v="Value from external organization"/>
    <m/>
  </r>
  <r>
    <s v="QCL"/>
    <s v="Crops and livestock products"/>
    <n v="706"/>
    <s v="Somalia"/>
    <n v="5510"/>
    <x v="2"/>
    <n v="112"/>
    <x v="0"/>
    <n v="2015"/>
    <x v="2"/>
    <s v="t"/>
    <x v="8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16"/>
    <x v="3"/>
    <s v="ha"/>
    <x v="9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6"/>
    <x v="3"/>
    <s v="kg/ha"/>
    <x v="10"/>
    <s v="X"/>
    <s v="Value from external organization"/>
    <m/>
  </r>
  <r>
    <s v="QCL"/>
    <s v="Crops and livestock products"/>
    <n v="706"/>
    <s v="Somalia"/>
    <n v="5510"/>
    <x v="2"/>
    <n v="112"/>
    <x v="0"/>
    <n v="2016"/>
    <x v="3"/>
    <s v="t"/>
    <x v="11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17"/>
    <x v="4"/>
    <s v="ha"/>
    <x v="12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7"/>
    <x v="4"/>
    <s v="kg/ha"/>
    <x v="13"/>
    <s v="X"/>
    <s v="Value from external organization"/>
    <m/>
  </r>
  <r>
    <s v="QCL"/>
    <s v="Crops and livestock products"/>
    <n v="706"/>
    <s v="Somalia"/>
    <n v="5510"/>
    <x v="2"/>
    <n v="112"/>
    <x v="0"/>
    <n v="2017"/>
    <x v="4"/>
    <s v="t"/>
    <x v="14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18"/>
    <x v="5"/>
    <s v="ha"/>
    <x v="15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8"/>
    <x v="5"/>
    <s v="kg/ha"/>
    <x v="16"/>
    <s v="X"/>
    <s v="Value from external organization"/>
    <m/>
  </r>
  <r>
    <s v="QCL"/>
    <s v="Crops and livestock products"/>
    <n v="706"/>
    <s v="Somalia"/>
    <n v="5510"/>
    <x v="2"/>
    <n v="112"/>
    <x v="0"/>
    <n v="2018"/>
    <x v="5"/>
    <s v="t"/>
    <x v="17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19"/>
    <x v="6"/>
    <s v="ha"/>
    <x v="12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19"/>
    <x v="6"/>
    <s v="kg/ha"/>
    <x v="18"/>
    <s v="X"/>
    <s v="Value from external organization"/>
    <m/>
  </r>
  <r>
    <s v="QCL"/>
    <s v="Crops and livestock products"/>
    <n v="706"/>
    <s v="Somalia"/>
    <n v="5510"/>
    <x v="2"/>
    <n v="112"/>
    <x v="0"/>
    <n v="2019"/>
    <x v="6"/>
    <s v="t"/>
    <x v="19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20"/>
    <x v="7"/>
    <s v="ha"/>
    <x v="12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20"/>
    <x v="7"/>
    <s v="kg/ha"/>
    <x v="20"/>
    <s v="X"/>
    <s v="Value from external organization"/>
    <m/>
  </r>
  <r>
    <s v="QCL"/>
    <s v="Crops and livestock products"/>
    <n v="706"/>
    <s v="Somalia"/>
    <n v="5510"/>
    <x v="2"/>
    <n v="112"/>
    <x v="0"/>
    <n v="2020"/>
    <x v="7"/>
    <s v="t"/>
    <x v="21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21"/>
    <x v="8"/>
    <s v="ha"/>
    <x v="12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21"/>
    <x v="8"/>
    <s v="kg/ha"/>
    <x v="22"/>
    <s v="X"/>
    <s v="Value from external organization"/>
    <m/>
  </r>
  <r>
    <s v="QCL"/>
    <s v="Crops and livestock products"/>
    <n v="706"/>
    <s v="Somalia"/>
    <n v="5510"/>
    <x v="2"/>
    <n v="112"/>
    <x v="0"/>
    <n v="2021"/>
    <x v="8"/>
    <s v="t"/>
    <x v="23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22"/>
    <x v="9"/>
    <s v="ha"/>
    <x v="12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22"/>
    <x v="9"/>
    <s v="kg/ha"/>
    <x v="24"/>
    <s v="X"/>
    <s v="Value from external organization"/>
    <m/>
  </r>
  <r>
    <s v="QCL"/>
    <s v="Crops and livestock products"/>
    <n v="706"/>
    <s v="Somalia"/>
    <n v="5510"/>
    <x v="2"/>
    <n v="112"/>
    <x v="0"/>
    <n v="2022"/>
    <x v="9"/>
    <s v="t"/>
    <x v="25"/>
    <s v="X"/>
    <s v="Value from external organization"/>
    <s v="Unofficial figure"/>
  </r>
  <r>
    <s v="QCL"/>
    <s v="Crops and livestock products"/>
    <n v="706"/>
    <s v="Somalia"/>
    <n v="5312"/>
    <x v="0"/>
    <n v="112"/>
    <x v="0"/>
    <n v="2023"/>
    <x v="10"/>
    <s v="ha"/>
    <x v="12"/>
    <s v="X"/>
    <s v="Value from external organization"/>
    <s v="Unofficial figure"/>
  </r>
  <r>
    <s v="QCL"/>
    <s v="Crops and livestock products"/>
    <n v="706"/>
    <s v="Somalia"/>
    <n v="5412"/>
    <x v="1"/>
    <n v="112"/>
    <x v="0"/>
    <n v="2023"/>
    <x v="10"/>
    <s v="kg/ha"/>
    <x v="26"/>
    <s v="X"/>
    <s v="Value from external organization"/>
    <m/>
  </r>
  <r>
    <s v="QCL"/>
    <s v="Crops and livestock products"/>
    <n v="706"/>
    <s v="Somalia"/>
    <n v="5510"/>
    <x v="2"/>
    <n v="112"/>
    <x v="0"/>
    <n v="2023"/>
    <x v="10"/>
    <s v="t"/>
    <x v="27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13"/>
    <x v="0"/>
    <s v="ha"/>
    <x v="28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13"/>
    <x v="0"/>
    <s v="kg/ha"/>
    <x v="29"/>
    <s v="X"/>
    <s v="Value from external organization"/>
    <m/>
  </r>
  <r>
    <s v="QCL"/>
    <s v="Crops and livestock products"/>
    <n v="706"/>
    <s v="Somalia"/>
    <n v="5510"/>
    <x v="2"/>
    <n v="113"/>
    <x v="1"/>
    <n v="2013"/>
    <x v="0"/>
    <s v="t"/>
    <x v="30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14"/>
    <x v="1"/>
    <s v="ha"/>
    <x v="31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14"/>
    <x v="1"/>
    <s v="kg/ha"/>
    <x v="32"/>
    <s v="X"/>
    <s v="Value from external organization"/>
    <m/>
  </r>
  <r>
    <s v="QCL"/>
    <s v="Crops and livestock products"/>
    <n v="706"/>
    <s v="Somalia"/>
    <n v="5510"/>
    <x v="2"/>
    <n v="113"/>
    <x v="1"/>
    <n v="2014"/>
    <x v="1"/>
    <s v="t"/>
    <x v="33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15"/>
    <x v="2"/>
    <s v="ha"/>
    <x v="34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15"/>
    <x v="2"/>
    <s v="kg/ha"/>
    <x v="35"/>
    <s v="X"/>
    <s v="Value from external organization"/>
    <m/>
  </r>
  <r>
    <s v="QCL"/>
    <s v="Crops and livestock products"/>
    <n v="706"/>
    <s v="Somalia"/>
    <n v="5510"/>
    <x v="2"/>
    <n v="113"/>
    <x v="1"/>
    <n v="2015"/>
    <x v="2"/>
    <s v="t"/>
    <x v="36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16"/>
    <x v="3"/>
    <s v="ha"/>
    <x v="20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16"/>
    <x v="3"/>
    <s v="kg/ha"/>
    <x v="37"/>
    <s v="X"/>
    <s v="Value from external organization"/>
    <m/>
  </r>
  <r>
    <s v="QCL"/>
    <s v="Crops and livestock products"/>
    <n v="706"/>
    <s v="Somalia"/>
    <n v="5510"/>
    <x v="2"/>
    <n v="113"/>
    <x v="1"/>
    <n v="2016"/>
    <x v="3"/>
    <s v="t"/>
    <x v="38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17"/>
    <x v="4"/>
    <s v="ha"/>
    <x v="39"/>
    <s v="I"/>
    <s v="Value imputed by a receiving agency"/>
    <m/>
  </r>
  <r>
    <s v="QCL"/>
    <s v="Crops and livestock products"/>
    <n v="706"/>
    <s v="Somalia"/>
    <n v="5412"/>
    <x v="1"/>
    <n v="113"/>
    <x v="1"/>
    <n v="2017"/>
    <x v="4"/>
    <s v="kg/ha"/>
    <x v="40"/>
    <s v="E"/>
    <s v="Estimated value"/>
    <m/>
  </r>
  <r>
    <s v="QCL"/>
    <s v="Crops and livestock products"/>
    <n v="706"/>
    <s v="Somalia"/>
    <n v="5510"/>
    <x v="2"/>
    <n v="113"/>
    <x v="1"/>
    <n v="2017"/>
    <x v="4"/>
    <s v="t"/>
    <x v="41"/>
    <s v="I"/>
    <s v="Value imputed by a receiving agency"/>
    <m/>
  </r>
  <r>
    <s v="QCL"/>
    <s v="Crops and livestock products"/>
    <n v="706"/>
    <s v="Somalia"/>
    <n v="5312"/>
    <x v="0"/>
    <n v="113"/>
    <x v="1"/>
    <n v="2018"/>
    <x v="5"/>
    <s v="ha"/>
    <x v="42"/>
    <s v="E"/>
    <s v="Estimated value"/>
    <m/>
  </r>
  <r>
    <s v="QCL"/>
    <s v="Crops and livestock products"/>
    <n v="706"/>
    <s v="Somalia"/>
    <n v="5412"/>
    <x v="1"/>
    <n v="113"/>
    <x v="1"/>
    <n v="2018"/>
    <x v="5"/>
    <s v="kg/ha"/>
    <x v="43"/>
    <s v="E"/>
    <s v="Estimated value"/>
    <m/>
  </r>
  <r>
    <s v="QCL"/>
    <s v="Crops and livestock products"/>
    <n v="706"/>
    <s v="Somalia"/>
    <n v="5510"/>
    <x v="2"/>
    <n v="113"/>
    <x v="1"/>
    <n v="2018"/>
    <x v="5"/>
    <s v="t"/>
    <x v="44"/>
    <s v="E"/>
    <s v="Estimated value"/>
    <m/>
  </r>
  <r>
    <s v="QCL"/>
    <s v="Crops and livestock products"/>
    <n v="706"/>
    <s v="Somalia"/>
    <n v="5312"/>
    <x v="0"/>
    <n v="113"/>
    <x v="1"/>
    <n v="2019"/>
    <x v="6"/>
    <s v="ha"/>
    <x v="45"/>
    <s v="I"/>
    <s v="Value imputed by a receiving agency"/>
    <m/>
  </r>
  <r>
    <s v="QCL"/>
    <s v="Crops and livestock products"/>
    <n v="706"/>
    <s v="Somalia"/>
    <n v="5412"/>
    <x v="1"/>
    <n v="113"/>
    <x v="1"/>
    <n v="2019"/>
    <x v="6"/>
    <s v="kg/ha"/>
    <x v="46"/>
    <s v="E"/>
    <s v="Estimated value"/>
    <m/>
  </r>
  <r>
    <s v="QCL"/>
    <s v="Crops and livestock products"/>
    <n v="706"/>
    <s v="Somalia"/>
    <n v="5510"/>
    <x v="2"/>
    <n v="113"/>
    <x v="1"/>
    <n v="2019"/>
    <x v="6"/>
    <s v="t"/>
    <x v="47"/>
    <s v="I"/>
    <s v="Value imputed by a receiving agency"/>
    <m/>
  </r>
  <r>
    <s v="QCL"/>
    <s v="Crops and livestock products"/>
    <n v="706"/>
    <s v="Somalia"/>
    <n v="5312"/>
    <x v="0"/>
    <n v="113"/>
    <x v="1"/>
    <n v="2020"/>
    <x v="7"/>
    <s v="ha"/>
    <x v="48"/>
    <s v="I"/>
    <s v="Value imputed by a receiving agency"/>
    <m/>
  </r>
  <r>
    <s v="QCL"/>
    <s v="Crops and livestock products"/>
    <n v="706"/>
    <s v="Somalia"/>
    <n v="5412"/>
    <x v="1"/>
    <n v="113"/>
    <x v="1"/>
    <n v="2020"/>
    <x v="7"/>
    <s v="kg/ha"/>
    <x v="49"/>
    <s v="E"/>
    <s v="Estimated value"/>
    <m/>
  </r>
  <r>
    <s v="QCL"/>
    <s v="Crops and livestock products"/>
    <n v="706"/>
    <s v="Somalia"/>
    <n v="5510"/>
    <x v="2"/>
    <n v="113"/>
    <x v="1"/>
    <n v="2020"/>
    <x v="7"/>
    <s v="t"/>
    <x v="50"/>
    <s v="I"/>
    <s v="Value imputed by a receiving agency"/>
    <m/>
  </r>
  <r>
    <s v="QCL"/>
    <s v="Crops and livestock products"/>
    <n v="706"/>
    <s v="Somalia"/>
    <n v="5312"/>
    <x v="0"/>
    <n v="113"/>
    <x v="1"/>
    <n v="2021"/>
    <x v="8"/>
    <s v="ha"/>
    <x v="51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21"/>
    <x v="8"/>
    <s v="kg/ha"/>
    <x v="32"/>
    <s v="X"/>
    <s v="Value from external organization"/>
    <m/>
  </r>
  <r>
    <s v="QCL"/>
    <s v="Crops and livestock products"/>
    <n v="706"/>
    <s v="Somalia"/>
    <n v="5510"/>
    <x v="2"/>
    <n v="113"/>
    <x v="1"/>
    <n v="2021"/>
    <x v="8"/>
    <s v="t"/>
    <x v="32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22"/>
    <x v="9"/>
    <s v="ha"/>
    <x v="51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22"/>
    <x v="9"/>
    <s v="kg/ha"/>
    <x v="32"/>
    <s v="X"/>
    <s v="Value from external organization"/>
    <m/>
  </r>
  <r>
    <s v="QCL"/>
    <s v="Crops and livestock products"/>
    <n v="706"/>
    <s v="Somalia"/>
    <n v="5510"/>
    <x v="2"/>
    <n v="113"/>
    <x v="1"/>
    <n v="2022"/>
    <x v="9"/>
    <s v="t"/>
    <x v="32"/>
    <s v="X"/>
    <s v="Value from external organization"/>
    <s v="Unofficial figure"/>
  </r>
  <r>
    <s v="QCL"/>
    <s v="Crops and livestock products"/>
    <n v="706"/>
    <s v="Somalia"/>
    <n v="5312"/>
    <x v="0"/>
    <n v="113"/>
    <x v="1"/>
    <n v="2023"/>
    <x v="10"/>
    <s v="ha"/>
    <x v="51"/>
    <s v="X"/>
    <s v="Value from external organization"/>
    <s v="Unofficial figure"/>
  </r>
  <r>
    <s v="QCL"/>
    <s v="Crops and livestock products"/>
    <n v="706"/>
    <s v="Somalia"/>
    <n v="5412"/>
    <x v="1"/>
    <n v="113"/>
    <x v="1"/>
    <n v="2023"/>
    <x v="10"/>
    <s v="kg/ha"/>
    <x v="32"/>
    <s v="X"/>
    <s v="Value from external organization"/>
    <m/>
  </r>
  <r>
    <s v="QCL"/>
    <s v="Crops and livestock products"/>
    <n v="706"/>
    <s v="Somalia"/>
    <n v="5510"/>
    <x v="2"/>
    <n v="113"/>
    <x v="1"/>
    <n v="2023"/>
    <x v="10"/>
    <s v="t"/>
    <x v="32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3"/>
    <x v="0"/>
    <s v="ha"/>
    <x v="52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3"/>
    <x v="0"/>
    <s v="kg/ha"/>
    <x v="53"/>
    <s v="X"/>
    <s v="Value from external organization"/>
    <m/>
  </r>
  <r>
    <s v="QCL"/>
    <s v="Crops and livestock products"/>
    <n v="706"/>
    <s v="Somalia"/>
    <n v="5510"/>
    <x v="2"/>
    <n v="114"/>
    <x v="2"/>
    <n v="2013"/>
    <x v="0"/>
    <s v="t"/>
    <x v="54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4"/>
    <x v="1"/>
    <s v="ha"/>
    <x v="55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4"/>
    <x v="1"/>
    <s v="kg/ha"/>
    <x v="56"/>
    <s v="X"/>
    <s v="Value from external organization"/>
    <m/>
  </r>
  <r>
    <s v="QCL"/>
    <s v="Crops and livestock products"/>
    <n v="706"/>
    <s v="Somalia"/>
    <n v="5510"/>
    <x v="2"/>
    <n v="114"/>
    <x v="2"/>
    <n v="2014"/>
    <x v="1"/>
    <s v="t"/>
    <x v="57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5"/>
    <x v="2"/>
    <s v="ha"/>
    <x v="58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5"/>
    <x v="2"/>
    <s v="kg/ha"/>
    <x v="59"/>
    <s v="X"/>
    <s v="Value from external organization"/>
    <m/>
  </r>
  <r>
    <s v="QCL"/>
    <s v="Crops and livestock products"/>
    <n v="706"/>
    <s v="Somalia"/>
    <n v="5510"/>
    <x v="2"/>
    <n v="114"/>
    <x v="2"/>
    <n v="2015"/>
    <x v="2"/>
    <s v="t"/>
    <x v="60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6"/>
    <x v="3"/>
    <s v="ha"/>
    <x v="61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6"/>
    <x v="3"/>
    <s v="kg/ha"/>
    <x v="62"/>
    <s v="X"/>
    <s v="Value from external organization"/>
    <m/>
  </r>
  <r>
    <s v="QCL"/>
    <s v="Crops and livestock products"/>
    <n v="706"/>
    <s v="Somalia"/>
    <n v="5510"/>
    <x v="2"/>
    <n v="114"/>
    <x v="2"/>
    <n v="2016"/>
    <x v="3"/>
    <s v="t"/>
    <x v="63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7"/>
    <x v="4"/>
    <s v="ha"/>
    <x v="64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7"/>
    <x v="4"/>
    <s v="kg/ha"/>
    <x v="65"/>
    <s v="X"/>
    <s v="Value from external organization"/>
    <m/>
  </r>
  <r>
    <s v="QCL"/>
    <s v="Crops and livestock products"/>
    <n v="706"/>
    <s v="Somalia"/>
    <n v="5510"/>
    <x v="2"/>
    <n v="114"/>
    <x v="2"/>
    <n v="2017"/>
    <x v="4"/>
    <s v="t"/>
    <x v="27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8"/>
    <x v="5"/>
    <s v="ha"/>
    <x v="66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8"/>
    <x v="5"/>
    <s v="kg/ha"/>
    <x v="67"/>
    <s v="X"/>
    <s v="Value from external organization"/>
    <m/>
  </r>
  <r>
    <s v="QCL"/>
    <s v="Crops and livestock products"/>
    <n v="706"/>
    <s v="Somalia"/>
    <n v="5510"/>
    <x v="2"/>
    <n v="114"/>
    <x v="2"/>
    <n v="2018"/>
    <x v="5"/>
    <s v="t"/>
    <x v="68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19"/>
    <x v="6"/>
    <s v="ha"/>
    <x v="69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19"/>
    <x v="6"/>
    <s v="kg/ha"/>
    <x v="70"/>
    <s v="X"/>
    <s v="Value from external organization"/>
    <m/>
  </r>
  <r>
    <s v="QCL"/>
    <s v="Crops and livestock products"/>
    <n v="706"/>
    <s v="Somalia"/>
    <n v="5510"/>
    <x v="2"/>
    <n v="114"/>
    <x v="2"/>
    <n v="2019"/>
    <x v="6"/>
    <s v="t"/>
    <x v="71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20"/>
    <x v="7"/>
    <s v="ha"/>
    <x v="69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20"/>
    <x v="7"/>
    <s v="kg/ha"/>
    <x v="72"/>
    <s v="X"/>
    <s v="Value from external organization"/>
    <m/>
  </r>
  <r>
    <s v="QCL"/>
    <s v="Crops and livestock products"/>
    <n v="706"/>
    <s v="Somalia"/>
    <n v="5510"/>
    <x v="2"/>
    <n v="114"/>
    <x v="2"/>
    <n v="2020"/>
    <x v="7"/>
    <s v="t"/>
    <x v="12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21"/>
    <x v="8"/>
    <s v="ha"/>
    <x v="69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21"/>
    <x v="8"/>
    <s v="kg/ha"/>
    <x v="73"/>
    <s v="X"/>
    <s v="Value from external organization"/>
    <m/>
  </r>
  <r>
    <s v="QCL"/>
    <s v="Crops and livestock products"/>
    <n v="706"/>
    <s v="Somalia"/>
    <n v="5510"/>
    <x v="2"/>
    <n v="114"/>
    <x v="2"/>
    <n v="2021"/>
    <x v="8"/>
    <s v="t"/>
    <x v="74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22"/>
    <x v="9"/>
    <s v="ha"/>
    <x v="69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22"/>
    <x v="9"/>
    <s v="kg/ha"/>
    <x v="75"/>
    <s v="X"/>
    <s v="Value from external organization"/>
    <m/>
  </r>
  <r>
    <s v="QCL"/>
    <s v="Crops and livestock products"/>
    <n v="706"/>
    <s v="Somalia"/>
    <n v="5510"/>
    <x v="2"/>
    <n v="114"/>
    <x v="2"/>
    <n v="2022"/>
    <x v="9"/>
    <s v="t"/>
    <x v="76"/>
    <s v="X"/>
    <s v="Value from external organization"/>
    <s v="Unofficial figure"/>
  </r>
  <r>
    <s v="QCL"/>
    <s v="Crops and livestock products"/>
    <n v="706"/>
    <s v="Somalia"/>
    <n v="5312"/>
    <x v="0"/>
    <n v="114"/>
    <x v="2"/>
    <n v="2023"/>
    <x v="10"/>
    <s v="ha"/>
    <x v="69"/>
    <s v="X"/>
    <s v="Value from external organization"/>
    <s v="Unofficial figure"/>
  </r>
  <r>
    <s v="QCL"/>
    <s v="Crops and livestock products"/>
    <n v="706"/>
    <s v="Somalia"/>
    <n v="5412"/>
    <x v="1"/>
    <n v="114"/>
    <x v="2"/>
    <n v="2023"/>
    <x v="10"/>
    <s v="kg/ha"/>
    <x v="77"/>
    <s v="X"/>
    <s v="Value from external organization"/>
    <m/>
  </r>
  <r>
    <s v="QCL"/>
    <s v="Crops and livestock products"/>
    <n v="706"/>
    <s v="Somalia"/>
    <n v="5510"/>
    <x v="2"/>
    <n v="114"/>
    <x v="2"/>
    <n v="2023"/>
    <x v="10"/>
    <s v="t"/>
    <x v="78"/>
    <s v="X"/>
    <s v="Value from external organization"/>
    <s v="Unofficial fig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4:B8" firstHeaderRow="1" firstDataRow="1" firstDataCol="1" rowPageCount="2" colPageCount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dataField="1" compact="0" outline="0" showAll="0">
      <items count="80">
        <item x="73"/>
        <item x="77"/>
        <item x="75"/>
        <item x="31"/>
        <item x="65"/>
        <item x="72"/>
        <item x="62"/>
        <item x="22"/>
        <item x="70"/>
        <item x="56"/>
        <item x="10"/>
        <item x="67"/>
        <item x="18"/>
        <item x="59"/>
        <item x="33"/>
        <item x="7"/>
        <item x="24"/>
        <item x="4"/>
        <item x="20"/>
        <item x="13"/>
        <item x="39"/>
        <item x="53"/>
        <item x="26"/>
        <item x="45"/>
        <item x="51"/>
        <item x="42"/>
        <item x="48"/>
        <item x="16"/>
        <item x="1"/>
        <item x="28"/>
        <item x="38"/>
        <item x="34"/>
        <item x="29"/>
        <item x="41"/>
        <item x="40"/>
        <item x="35"/>
        <item x="43"/>
        <item x="44"/>
        <item x="37"/>
        <item x="30"/>
        <item x="32"/>
        <item x="47"/>
        <item x="46"/>
        <item x="49"/>
        <item x="50"/>
        <item x="36"/>
        <item x="23"/>
        <item x="19"/>
        <item x="74"/>
        <item x="11"/>
        <item x="25"/>
        <item x="78"/>
        <item x="76"/>
        <item x="21"/>
        <item x="14"/>
        <item x="63"/>
        <item x="15"/>
        <item x="27"/>
        <item x="12"/>
        <item x="17"/>
        <item x="5"/>
        <item x="9"/>
        <item x="8"/>
        <item x="0"/>
        <item x="71"/>
        <item x="68"/>
        <item x="60"/>
        <item x="57"/>
        <item x="2"/>
        <item x="3"/>
        <item x="61"/>
        <item x="6"/>
        <item x="54"/>
        <item x="66"/>
        <item x="64"/>
        <item x="69"/>
        <item x="58"/>
        <item x="52"/>
        <item x="55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7"/>
  </rowFields>
  <rowItems count="4">
    <i>
      <x v="2"/>
    </i>
    <i>
      <x/>
    </i>
    <i>
      <x v="1"/>
    </i>
    <i t="grand">
      <x/>
    </i>
  </rowItems>
  <colItems count="1">
    <i/>
  </colItems>
  <pageFields count="2">
    <pageField fld="5" item="1" hier="-1"/>
    <pageField fld="9" hier="-1"/>
  </pageFields>
  <dataFields count="1">
    <dataField name="Sum of Value" fld="11" baseField="7" baseItem="0" numFmtId="43"/>
  </dataFields>
  <formats count="2">
    <format dxfId="17">
      <pivotArea collapsedLevelsAreSubtotals="1" fieldPosition="0">
        <references count="1">
          <reference field="7" count="1">
            <x v="2"/>
          </reference>
        </references>
      </pivotArea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7">
  <location ref="A4:B15" firstHeaderRow="1" firstDataRow="1" firstDataCol="1" rowPageCount="2" colPageCount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">
        <item x="0"/>
        <item x="2"/>
        <item x="1"/>
        <item t="default"/>
      </items>
    </pivotField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pageFields count="2">
    <pageField fld="7" item="2" hier="-1"/>
    <pageField fld="5" item="1" hier="-1"/>
  </pageFields>
  <dataFields count="1">
    <dataField name="Sum of Value" fld="11" baseField="9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0" totalsRowShown="0">
  <autoFilter ref="A1:O100"/>
  <sortState ref="A2:O100">
    <sortCondition ref="L2:L100"/>
  </sortState>
  <tableColumns count="15">
    <tableColumn id="1" name="Domain Code"/>
    <tableColumn id="2" name="Domain"/>
    <tableColumn id="3" name="Area Code (M49)"/>
    <tableColumn id="4" name="Area"/>
    <tableColumn id="5" name="Element Code"/>
    <tableColumn id="6" name="Element"/>
    <tableColumn id="7" name="Item Code (CPC)"/>
    <tableColumn id="8" name="Item"/>
    <tableColumn id="9" name="Year Code"/>
    <tableColumn id="10" name="Year"/>
    <tableColumn id="11" name="Unit"/>
    <tableColumn id="12" name="Value"/>
    <tableColumn id="13" name="Flag"/>
    <tableColumn id="14" name="Flag Description"/>
    <tableColumn id="15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B4:D10" totalsRowShown="0" headerRowDxfId="18">
  <autoFilter ref="B4:D10"/>
  <tableColumns count="3">
    <tableColumn id="1" name="No."/>
    <tableColumn id="2" name="Research Question"/>
    <tableColumn id="3" name="Purp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8:D13" totalsRowShown="0" headerRowDxfId="15" dataDxfId="14">
  <autoFilter ref="B8:D13"/>
  <tableColumns count="3">
    <tableColumn id="1" name="Data Quality Check" dataDxfId="13"/>
    <tableColumn id="2" name="Result" dataDxfId="12"/>
    <tableColumn id="3" name="Interpretation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B16:D20" totalsRowShown="0" headerRowDxfId="10" dataDxfId="9">
  <autoFilter ref="B16:D20"/>
  <tableColumns count="3">
    <tableColumn id="1" name="Crop" dataDxfId="8"/>
    <tableColumn id="2" name="Production (Tonnes)" dataDxfId="7"/>
    <tableColumn id="3" name="Share of total" dataDxfId="6" dataCellStyle="Percent">
      <calculatedColumnFormula>C17/$C$20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B23:C27" totalsRowShown="0">
  <autoFilter ref="B23:C27"/>
  <tableColumns count="2">
    <tableColumn id="1" name="Observation"/>
    <tableColumn id="2" name="Find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B30:D33" totalsRowShown="0">
  <autoFilter ref="B30:D33"/>
  <tableColumns count="3">
    <tableColumn id="1" name="Analysis"/>
    <tableColumn id="2" name="Result"/>
    <tableColumn id="3" name="Interpret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B35:D37" totalsRowShown="0">
  <autoFilter ref="B35:D37"/>
  <tableColumns count="3">
    <tableColumn id="1" name="Metric"/>
    <tableColumn id="2" name="Year" dataDxfId="5"/>
    <tableColumn id="3" name="Sorghum Production (tonnes)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opLeftCell="D1" workbookViewId="0">
      <selection activeCell="P11" sqref="P11"/>
    </sheetView>
  </sheetViews>
  <sheetFormatPr defaultRowHeight="15"/>
  <cols>
    <col min="1" max="1" width="15" customWidth="1"/>
    <col min="2" max="2" width="26.7109375" bestFit="1" customWidth="1"/>
    <col min="3" max="3" width="18" customWidth="1"/>
    <col min="5" max="5" width="15.5703125" customWidth="1"/>
    <col min="6" max="6" width="14.5703125" bestFit="1" customWidth="1"/>
    <col min="7" max="7" width="17.5703125" customWidth="1"/>
    <col min="8" max="8" width="12" bestFit="1" customWidth="1"/>
    <col min="9" max="9" width="12.140625" customWidth="1"/>
    <col min="14" max="14" width="34.140625" bestFit="1" customWidth="1"/>
    <col min="15" max="15" width="15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706</v>
      </c>
      <c r="D2" t="s">
        <v>17</v>
      </c>
      <c r="E2">
        <v>5412</v>
      </c>
      <c r="F2" t="s">
        <v>24</v>
      </c>
      <c r="G2">
        <v>114</v>
      </c>
      <c r="H2" t="s">
        <v>33</v>
      </c>
      <c r="I2">
        <v>2021</v>
      </c>
      <c r="J2">
        <v>2021</v>
      </c>
      <c r="K2" t="s">
        <v>25</v>
      </c>
      <c r="L2">
        <v>236</v>
      </c>
      <c r="M2" t="s">
        <v>21</v>
      </c>
      <c r="N2" t="s">
        <v>22</v>
      </c>
    </row>
    <row r="3" spans="1:15">
      <c r="A3" t="s">
        <v>15</v>
      </c>
      <c r="B3" t="s">
        <v>16</v>
      </c>
      <c r="C3">
        <v>706</v>
      </c>
      <c r="D3" t="s">
        <v>17</v>
      </c>
      <c r="E3">
        <v>5412</v>
      </c>
      <c r="F3" t="s">
        <v>24</v>
      </c>
      <c r="G3">
        <v>114</v>
      </c>
      <c r="H3" t="s">
        <v>33</v>
      </c>
      <c r="I3">
        <v>2023</v>
      </c>
      <c r="J3">
        <v>2023</v>
      </c>
      <c r="K3" t="s">
        <v>25</v>
      </c>
      <c r="L3">
        <v>284</v>
      </c>
      <c r="M3" t="s">
        <v>21</v>
      </c>
      <c r="N3" t="s">
        <v>22</v>
      </c>
    </row>
    <row r="4" spans="1:15">
      <c r="A4" t="s">
        <v>15</v>
      </c>
      <c r="B4" t="s">
        <v>16</v>
      </c>
      <c r="C4">
        <v>706</v>
      </c>
      <c r="D4" t="s">
        <v>17</v>
      </c>
      <c r="E4">
        <v>5412</v>
      </c>
      <c r="F4" t="s">
        <v>24</v>
      </c>
      <c r="G4">
        <v>114</v>
      </c>
      <c r="H4" t="s">
        <v>33</v>
      </c>
      <c r="I4">
        <v>2022</v>
      </c>
      <c r="J4">
        <v>2022</v>
      </c>
      <c r="K4" t="s">
        <v>25</v>
      </c>
      <c r="L4">
        <v>288</v>
      </c>
      <c r="M4" t="s">
        <v>21</v>
      </c>
      <c r="N4" t="s">
        <v>22</v>
      </c>
    </row>
    <row r="5" spans="1:15">
      <c r="A5" t="s">
        <v>15</v>
      </c>
      <c r="B5" t="s">
        <v>16</v>
      </c>
      <c r="C5">
        <v>706</v>
      </c>
      <c r="D5" t="s">
        <v>17</v>
      </c>
      <c r="E5">
        <v>5312</v>
      </c>
      <c r="F5" t="s">
        <v>18</v>
      </c>
      <c r="G5">
        <v>113</v>
      </c>
      <c r="H5" t="s">
        <v>28</v>
      </c>
      <c r="I5">
        <v>2014</v>
      </c>
      <c r="J5">
        <v>2014</v>
      </c>
      <c r="K5" t="s">
        <v>20</v>
      </c>
      <c r="L5">
        <v>300</v>
      </c>
      <c r="M5" t="s">
        <v>21</v>
      </c>
      <c r="N5" t="s">
        <v>22</v>
      </c>
      <c r="O5" t="s">
        <v>23</v>
      </c>
    </row>
    <row r="6" spans="1:15">
      <c r="A6" t="s">
        <v>15</v>
      </c>
      <c r="B6" t="s">
        <v>16</v>
      </c>
      <c r="C6">
        <v>706</v>
      </c>
      <c r="D6" t="s">
        <v>17</v>
      </c>
      <c r="E6">
        <v>5412</v>
      </c>
      <c r="F6" t="s">
        <v>24</v>
      </c>
      <c r="G6">
        <v>114</v>
      </c>
      <c r="H6" t="s">
        <v>33</v>
      </c>
      <c r="I6">
        <v>2017</v>
      </c>
      <c r="J6">
        <v>2017</v>
      </c>
      <c r="K6" t="s">
        <v>25</v>
      </c>
      <c r="L6">
        <v>394.2</v>
      </c>
      <c r="M6" t="s">
        <v>21</v>
      </c>
      <c r="N6" t="s">
        <v>22</v>
      </c>
    </row>
    <row r="7" spans="1:15">
      <c r="A7" t="s">
        <v>15</v>
      </c>
      <c r="B7" t="s">
        <v>16</v>
      </c>
      <c r="C7">
        <v>706</v>
      </c>
      <c r="D7" t="s">
        <v>17</v>
      </c>
      <c r="E7">
        <v>5412</v>
      </c>
      <c r="F7" t="s">
        <v>24</v>
      </c>
      <c r="G7">
        <v>114</v>
      </c>
      <c r="H7" t="s">
        <v>33</v>
      </c>
      <c r="I7">
        <v>2020</v>
      </c>
      <c r="J7">
        <v>2020</v>
      </c>
      <c r="K7" t="s">
        <v>25</v>
      </c>
      <c r="L7">
        <v>400</v>
      </c>
      <c r="M7" t="s">
        <v>21</v>
      </c>
      <c r="N7" t="s">
        <v>22</v>
      </c>
    </row>
    <row r="8" spans="1:15">
      <c r="A8" t="s">
        <v>15</v>
      </c>
      <c r="B8" t="s">
        <v>16</v>
      </c>
      <c r="C8">
        <v>706</v>
      </c>
      <c r="D8" t="s">
        <v>17</v>
      </c>
      <c r="E8">
        <v>5412</v>
      </c>
      <c r="F8" t="s">
        <v>24</v>
      </c>
      <c r="G8">
        <v>114</v>
      </c>
      <c r="H8" t="s">
        <v>33</v>
      </c>
      <c r="I8">
        <v>2016</v>
      </c>
      <c r="J8">
        <v>2016</v>
      </c>
      <c r="K8" t="s">
        <v>25</v>
      </c>
      <c r="L8">
        <v>472.7</v>
      </c>
      <c r="M8" t="s">
        <v>21</v>
      </c>
      <c r="N8" t="s">
        <v>22</v>
      </c>
    </row>
    <row r="9" spans="1:15">
      <c r="A9" t="s">
        <v>15</v>
      </c>
      <c r="B9" t="s">
        <v>16</v>
      </c>
      <c r="C9">
        <v>706</v>
      </c>
      <c r="D9" t="s">
        <v>17</v>
      </c>
      <c r="E9">
        <v>5412</v>
      </c>
      <c r="F9" t="s">
        <v>24</v>
      </c>
      <c r="G9">
        <v>112</v>
      </c>
      <c r="H9" t="s">
        <v>19</v>
      </c>
      <c r="I9">
        <v>2021</v>
      </c>
      <c r="J9">
        <v>2021</v>
      </c>
      <c r="K9" t="s">
        <v>25</v>
      </c>
      <c r="L9">
        <v>490</v>
      </c>
      <c r="M9" t="s">
        <v>21</v>
      </c>
      <c r="N9" t="s">
        <v>22</v>
      </c>
    </row>
    <row r="10" spans="1:15">
      <c r="A10" t="s">
        <v>15</v>
      </c>
      <c r="B10" t="s">
        <v>16</v>
      </c>
      <c r="C10">
        <v>706</v>
      </c>
      <c r="D10" t="s">
        <v>17</v>
      </c>
      <c r="E10">
        <v>5412</v>
      </c>
      <c r="F10" t="s">
        <v>24</v>
      </c>
      <c r="G10">
        <v>114</v>
      </c>
      <c r="H10" t="s">
        <v>33</v>
      </c>
      <c r="I10">
        <v>2019</v>
      </c>
      <c r="J10">
        <v>2019</v>
      </c>
      <c r="K10" t="s">
        <v>25</v>
      </c>
      <c r="L10">
        <v>500</v>
      </c>
      <c r="M10" t="s">
        <v>21</v>
      </c>
      <c r="N10" t="s">
        <v>22</v>
      </c>
    </row>
    <row r="11" spans="1:15">
      <c r="A11" t="s">
        <v>15</v>
      </c>
      <c r="B11" t="s">
        <v>16</v>
      </c>
      <c r="C11">
        <v>706</v>
      </c>
      <c r="D11" t="s">
        <v>17</v>
      </c>
      <c r="E11">
        <v>5412</v>
      </c>
      <c r="F11" t="s">
        <v>24</v>
      </c>
      <c r="G11">
        <v>114</v>
      </c>
      <c r="H11" t="s">
        <v>33</v>
      </c>
      <c r="I11">
        <v>2014</v>
      </c>
      <c r="J11">
        <v>2014</v>
      </c>
      <c r="K11" t="s">
        <v>25</v>
      </c>
      <c r="L11">
        <v>539.79999999999995</v>
      </c>
      <c r="M11" t="s">
        <v>21</v>
      </c>
      <c r="N11" t="s">
        <v>22</v>
      </c>
    </row>
    <row r="12" spans="1:15">
      <c r="A12" t="s">
        <v>15</v>
      </c>
      <c r="B12" t="s">
        <v>16</v>
      </c>
      <c r="C12">
        <v>706</v>
      </c>
      <c r="D12" t="s">
        <v>17</v>
      </c>
      <c r="E12">
        <v>5412</v>
      </c>
      <c r="F12" t="s">
        <v>24</v>
      </c>
      <c r="G12">
        <v>112</v>
      </c>
      <c r="H12" t="s">
        <v>19</v>
      </c>
      <c r="I12">
        <v>2016</v>
      </c>
      <c r="J12">
        <v>2016</v>
      </c>
      <c r="K12" t="s">
        <v>25</v>
      </c>
      <c r="L12">
        <v>555.1</v>
      </c>
      <c r="M12" t="s">
        <v>21</v>
      </c>
      <c r="N12" t="s">
        <v>22</v>
      </c>
    </row>
    <row r="13" spans="1:15">
      <c r="A13" t="s">
        <v>15</v>
      </c>
      <c r="B13" t="s">
        <v>16</v>
      </c>
      <c r="C13">
        <v>706</v>
      </c>
      <c r="D13" t="s">
        <v>17</v>
      </c>
      <c r="E13">
        <v>5412</v>
      </c>
      <c r="F13" t="s">
        <v>24</v>
      </c>
      <c r="G13">
        <v>114</v>
      </c>
      <c r="H13" t="s">
        <v>33</v>
      </c>
      <c r="I13">
        <v>2018</v>
      </c>
      <c r="J13">
        <v>2018</v>
      </c>
      <c r="K13" t="s">
        <v>25</v>
      </c>
      <c r="L13">
        <v>555.6</v>
      </c>
      <c r="M13" t="s">
        <v>21</v>
      </c>
      <c r="N13" t="s">
        <v>22</v>
      </c>
    </row>
    <row r="14" spans="1:15">
      <c r="A14" t="s">
        <v>15</v>
      </c>
      <c r="B14" t="s">
        <v>16</v>
      </c>
      <c r="C14">
        <v>706</v>
      </c>
      <c r="D14" t="s">
        <v>17</v>
      </c>
      <c r="E14">
        <v>5412</v>
      </c>
      <c r="F14" t="s">
        <v>24</v>
      </c>
      <c r="G14">
        <v>112</v>
      </c>
      <c r="H14" t="s">
        <v>19</v>
      </c>
      <c r="I14">
        <v>2019</v>
      </c>
      <c r="J14">
        <v>2019</v>
      </c>
      <c r="K14" t="s">
        <v>25</v>
      </c>
      <c r="L14">
        <v>570</v>
      </c>
      <c r="M14" t="s">
        <v>21</v>
      </c>
      <c r="N14" t="s">
        <v>22</v>
      </c>
    </row>
    <row r="15" spans="1:15">
      <c r="A15" t="s">
        <v>15</v>
      </c>
      <c r="B15" t="s">
        <v>16</v>
      </c>
      <c r="C15">
        <v>706</v>
      </c>
      <c r="D15" t="s">
        <v>17</v>
      </c>
      <c r="E15">
        <v>5412</v>
      </c>
      <c r="F15" t="s">
        <v>24</v>
      </c>
      <c r="G15">
        <v>114</v>
      </c>
      <c r="H15" t="s">
        <v>33</v>
      </c>
      <c r="I15">
        <v>2015</v>
      </c>
      <c r="J15">
        <v>2015</v>
      </c>
      <c r="K15" t="s">
        <v>25</v>
      </c>
      <c r="L15">
        <v>576.5</v>
      </c>
      <c r="M15" t="s">
        <v>21</v>
      </c>
      <c r="N15" t="s">
        <v>22</v>
      </c>
    </row>
    <row r="16" spans="1:15">
      <c r="A16" t="s">
        <v>15</v>
      </c>
      <c r="B16" t="s">
        <v>16</v>
      </c>
      <c r="C16">
        <v>706</v>
      </c>
      <c r="D16" t="s">
        <v>17</v>
      </c>
      <c r="E16">
        <v>5510</v>
      </c>
      <c r="F16" t="s">
        <v>26</v>
      </c>
      <c r="G16">
        <v>113</v>
      </c>
      <c r="H16" t="s">
        <v>28</v>
      </c>
      <c r="I16">
        <v>2014</v>
      </c>
      <c r="J16">
        <v>2014</v>
      </c>
      <c r="K16" t="s">
        <v>27</v>
      </c>
      <c r="L16">
        <v>600</v>
      </c>
      <c r="M16" t="s">
        <v>21</v>
      </c>
      <c r="N16" t="s">
        <v>22</v>
      </c>
      <c r="O16" t="s">
        <v>23</v>
      </c>
    </row>
    <row r="17" spans="1:15">
      <c r="A17" t="s">
        <v>15</v>
      </c>
      <c r="B17" t="s">
        <v>16</v>
      </c>
      <c r="C17">
        <v>706</v>
      </c>
      <c r="D17" t="s">
        <v>17</v>
      </c>
      <c r="E17">
        <v>5412</v>
      </c>
      <c r="F17" t="s">
        <v>24</v>
      </c>
      <c r="G17">
        <v>112</v>
      </c>
      <c r="H17" t="s">
        <v>19</v>
      </c>
      <c r="I17">
        <v>2015</v>
      </c>
      <c r="J17">
        <v>2015</v>
      </c>
      <c r="K17" t="s">
        <v>25</v>
      </c>
      <c r="L17">
        <v>611.1</v>
      </c>
      <c r="M17" t="s">
        <v>21</v>
      </c>
      <c r="N17" t="s">
        <v>22</v>
      </c>
    </row>
    <row r="18" spans="1:15">
      <c r="A18" t="s">
        <v>15</v>
      </c>
      <c r="B18" t="s">
        <v>16</v>
      </c>
      <c r="C18">
        <v>706</v>
      </c>
      <c r="D18" t="s">
        <v>17</v>
      </c>
      <c r="E18">
        <v>5412</v>
      </c>
      <c r="F18" t="s">
        <v>24</v>
      </c>
      <c r="G18">
        <v>112</v>
      </c>
      <c r="H18" t="s">
        <v>19</v>
      </c>
      <c r="I18">
        <v>2022</v>
      </c>
      <c r="J18">
        <v>2022</v>
      </c>
      <c r="K18" t="s">
        <v>25</v>
      </c>
      <c r="L18">
        <v>650</v>
      </c>
      <c r="M18" t="s">
        <v>21</v>
      </c>
      <c r="N18" t="s">
        <v>22</v>
      </c>
    </row>
    <row r="19" spans="1:15">
      <c r="A19" t="s">
        <v>15</v>
      </c>
      <c r="B19" t="s">
        <v>16</v>
      </c>
      <c r="C19">
        <v>706</v>
      </c>
      <c r="D19" t="s">
        <v>17</v>
      </c>
      <c r="E19">
        <v>5412</v>
      </c>
      <c r="F19" t="s">
        <v>24</v>
      </c>
      <c r="G19">
        <v>112</v>
      </c>
      <c r="H19" t="s">
        <v>19</v>
      </c>
      <c r="I19">
        <v>2014</v>
      </c>
      <c r="J19">
        <v>2014</v>
      </c>
      <c r="K19" t="s">
        <v>25</v>
      </c>
      <c r="L19">
        <v>655.7</v>
      </c>
      <c r="M19" t="s">
        <v>21</v>
      </c>
      <c r="N19" t="s">
        <v>22</v>
      </c>
    </row>
    <row r="20" spans="1:15">
      <c r="A20" t="s">
        <v>15</v>
      </c>
      <c r="B20" t="s">
        <v>16</v>
      </c>
      <c r="C20">
        <v>706</v>
      </c>
      <c r="D20" t="s">
        <v>17</v>
      </c>
      <c r="E20">
        <v>5412</v>
      </c>
      <c r="F20" t="s">
        <v>24</v>
      </c>
      <c r="G20">
        <v>112</v>
      </c>
      <c r="H20" t="s">
        <v>19</v>
      </c>
      <c r="I20">
        <v>2020</v>
      </c>
      <c r="J20">
        <v>2020</v>
      </c>
      <c r="K20" t="s">
        <v>25</v>
      </c>
      <c r="L20">
        <v>750</v>
      </c>
      <c r="M20" t="s">
        <v>21</v>
      </c>
      <c r="N20" t="s">
        <v>22</v>
      </c>
    </row>
    <row r="21" spans="1:15">
      <c r="A21" t="s">
        <v>15</v>
      </c>
      <c r="B21" t="s">
        <v>16</v>
      </c>
      <c r="C21">
        <v>706</v>
      </c>
      <c r="D21" t="s">
        <v>17</v>
      </c>
      <c r="E21">
        <v>5312</v>
      </c>
      <c r="F21" t="s">
        <v>18</v>
      </c>
      <c r="G21">
        <v>113</v>
      </c>
      <c r="H21" t="s">
        <v>28</v>
      </c>
      <c r="I21">
        <v>2016</v>
      </c>
      <c r="J21">
        <v>2016</v>
      </c>
      <c r="K21" t="s">
        <v>20</v>
      </c>
      <c r="L21">
        <v>750</v>
      </c>
      <c r="M21" t="s">
        <v>21</v>
      </c>
      <c r="N21" t="s">
        <v>22</v>
      </c>
      <c r="O21" t="s">
        <v>23</v>
      </c>
    </row>
    <row r="22" spans="1:15">
      <c r="A22" t="s">
        <v>15</v>
      </c>
      <c r="B22" t="s">
        <v>16</v>
      </c>
      <c r="C22">
        <v>706</v>
      </c>
      <c r="D22" t="s">
        <v>17</v>
      </c>
      <c r="E22">
        <v>5412</v>
      </c>
      <c r="F22" t="s">
        <v>24</v>
      </c>
      <c r="G22">
        <v>112</v>
      </c>
      <c r="H22" t="s">
        <v>19</v>
      </c>
      <c r="I22">
        <v>2017</v>
      </c>
      <c r="J22">
        <v>2017</v>
      </c>
      <c r="K22" t="s">
        <v>25</v>
      </c>
      <c r="L22">
        <v>770</v>
      </c>
      <c r="M22" t="s">
        <v>21</v>
      </c>
      <c r="N22" t="s">
        <v>22</v>
      </c>
    </row>
    <row r="23" spans="1:15">
      <c r="A23" t="s">
        <v>15</v>
      </c>
      <c r="B23" t="s">
        <v>16</v>
      </c>
      <c r="C23">
        <v>706</v>
      </c>
      <c r="D23" t="s">
        <v>17</v>
      </c>
      <c r="E23">
        <v>5312</v>
      </c>
      <c r="F23" t="s">
        <v>18</v>
      </c>
      <c r="G23">
        <v>113</v>
      </c>
      <c r="H23" t="s">
        <v>28</v>
      </c>
      <c r="I23">
        <v>2017</v>
      </c>
      <c r="J23">
        <v>2017</v>
      </c>
      <c r="K23" t="s">
        <v>20</v>
      </c>
      <c r="L23">
        <v>853</v>
      </c>
      <c r="M23" t="s">
        <v>29</v>
      </c>
      <c r="N23" t="s">
        <v>30</v>
      </c>
    </row>
    <row r="24" spans="1:15">
      <c r="A24" t="s">
        <v>15</v>
      </c>
      <c r="B24" t="s">
        <v>16</v>
      </c>
      <c r="C24">
        <v>706</v>
      </c>
      <c r="D24" t="s">
        <v>17</v>
      </c>
      <c r="E24">
        <v>5412</v>
      </c>
      <c r="F24" t="s">
        <v>24</v>
      </c>
      <c r="G24">
        <v>114</v>
      </c>
      <c r="H24" t="s">
        <v>33</v>
      </c>
      <c r="I24">
        <v>2013</v>
      </c>
      <c r="J24">
        <v>2013</v>
      </c>
      <c r="K24" t="s">
        <v>25</v>
      </c>
      <c r="L24">
        <v>854.3</v>
      </c>
      <c r="M24" t="s">
        <v>21</v>
      </c>
      <c r="N24" t="s">
        <v>22</v>
      </c>
    </row>
    <row r="25" spans="1:15">
      <c r="A25" t="s">
        <v>15</v>
      </c>
      <c r="B25" t="s">
        <v>16</v>
      </c>
      <c r="C25">
        <v>706</v>
      </c>
      <c r="D25" t="s">
        <v>17</v>
      </c>
      <c r="E25">
        <v>5412</v>
      </c>
      <c r="F25" t="s">
        <v>24</v>
      </c>
      <c r="G25">
        <v>112</v>
      </c>
      <c r="H25" t="s">
        <v>19</v>
      </c>
      <c r="I25">
        <v>2023</v>
      </c>
      <c r="J25">
        <v>2023</v>
      </c>
      <c r="K25" t="s">
        <v>25</v>
      </c>
      <c r="L25">
        <v>950</v>
      </c>
      <c r="M25" t="s">
        <v>21</v>
      </c>
      <c r="N25" t="s">
        <v>22</v>
      </c>
    </row>
    <row r="26" spans="1:15">
      <c r="A26" t="s">
        <v>15</v>
      </c>
      <c r="B26" t="s">
        <v>16</v>
      </c>
      <c r="C26">
        <v>706</v>
      </c>
      <c r="D26" t="s">
        <v>17</v>
      </c>
      <c r="E26">
        <v>5312</v>
      </c>
      <c r="F26" t="s">
        <v>18</v>
      </c>
      <c r="G26">
        <v>113</v>
      </c>
      <c r="H26" t="s">
        <v>28</v>
      </c>
      <c r="I26">
        <v>2019</v>
      </c>
      <c r="J26">
        <v>2019</v>
      </c>
      <c r="K26" t="s">
        <v>20</v>
      </c>
      <c r="L26">
        <v>998</v>
      </c>
      <c r="M26" t="s">
        <v>29</v>
      </c>
      <c r="N26" t="s">
        <v>30</v>
      </c>
    </row>
    <row r="27" spans="1:15">
      <c r="A27" t="s">
        <v>15</v>
      </c>
      <c r="B27" t="s">
        <v>16</v>
      </c>
      <c r="C27">
        <v>706</v>
      </c>
      <c r="D27" t="s">
        <v>17</v>
      </c>
      <c r="E27">
        <v>5312</v>
      </c>
      <c r="F27" t="s">
        <v>18</v>
      </c>
      <c r="G27">
        <v>113</v>
      </c>
      <c r="H27" t="s">
        <v>28</v>
      </c>
      <c r="I27">
        <v>2021</v>
      </c>
      <c r="J27">
        <v>2021</v>
      </c>
      <c r="K27" t="s">
        <v>20</v>
      </c>
      <c r="L27">
        <v>1000</v>
      </c>
      <c r="M27" t="s">
        <v>21</v>
      </c>
      <c r="N27" t="s">
        <v>22</v>
      </c>
      <c r="O27" t="s">
        <v>23</v>
      </c>
    </row>
    <row r="28" spans="1:15">
      <c r="A28" t="s">
        <v>15</v>
      </c>
      <c r="B28" t="s">
        <v>16</v>
      </c>
      <c r="C28">
        <v>706</v>
      </c>
      <c r="D28" t="s">
        <v>17</v>
      </c>
      <c r="E28">
        <v>5312</v>
      </c>
      <c r="F28" t="s">
        <v>18</v>
      </c>
      <c r="G28">
        <v>113</v>
      </c>
      <c r="H28" t="s">
        <v>28</v>
      </c>
      <c r="I28">
        <v>2022</v>
      </c>
      <c r="J28">
        <v>2022</v>
      </c>
      <c r="K28" t="s">
        <v>20</v>
      </c>
      <c r="L28">
        <v>1000</v>
      </c>
      <c r="M28" t="s">
        <v>21</v>
      </c>
      <c r="N28" t="s">
        <v>22</v>
      </c>
      <c r="O28" t="s">
        <v>23</v>
      </c>
    </row>
    <row r="29" spans="1:15">
      <c r="A29" t="s">
        <v>15</v>
      </c>
      <c r="B29" t="s">
        <v>16</v>
      </c>
      <c r="C29">
        <v>706</v>
      </c>
      <c r="D29" t="s">
        <v>17</v>
      </c>
      <c r="E29">
        <v>5312</v>
      </c>
      <c r="F29" t="s">
        <v>18</v>
      </c>
      <c r="G29">
        <v>113</v>
      </c>
      <c r="H29" t="s">
        <v>28</v>
      </c>
      <c r="I29">
        <v>2023</v>
      </c>
      <c r="J29">
        <v>2023</v>
      </c>
      <c r="K29" t="s">
        <v>20</v>
      </c>
      <c r="L29">
        <v>1000</v>
      </c>
      <c r="M29" t="s">
        <v>21</v>
      </c>
      <c r="N29" t="s">
        <v>22</v>
      </c>
      <c r="O29" t="s">
        <v>23</v>
      </c>
    </row>
    <row r="30" spans="1:15">
      <c r="A30" t="s">
        <v>15</v>
      </c>
      <c r="B30" t="s">
        <v>16</v>
      </c>
      <c r="C30">
        <v>706</v>
      </c>
      <c r="D30" t="s">
        <v>17</v>
      </c>
      <c r="E30">
        <v>5312</v>
      </c>
      <c r="F30" t="s">
        <v>18</v>
      </c>
      <c r="G30">
        <v>113</v>
      </c>
      <c r="H30" t="s">
        <v>28</v>
      </c>
      <c r="I30">
        <v>2018</v>
      </c>
      <c r="J30">
        <v>2018</v>
      </c>
      <c r="K30" t="s">
        <v>20</v>
      </c>
      <c r="L30">
        <v>1001</v>
      </c>
      <c r="M30" t="s">
        <v>31</v>
      </c>
      <c r="N30" t="s">
        <v>32</v>
      </c>
    </row>
    <row r="31" spans="1:15">
      <c r="A31" t="s">
        <v>15</v>
      </c>
      <c r="B31" t="s">
        <v>16</v>
      </c>
      <c r="C31">
        <v>706</v>
      </c>
      <c r="D31" t="s">
        <v>17</v>
      </c>
      <c r="E31">
        <v>5312</v>
      </c>
      <c r="F31" t="s">
        <v>18</v>
      </c>
      <c r="G31">
        <v>113</v>
      </c>
      <c r="H31" t="s">
        <v>28</v>
      </c>
      <c r="I31">
        <v>2020</v>
      </c>
      <c r="J31">
        <v>2020</v>
      </c>
      <c r="K31" t="s">
        <v>20</v>
      </c>
      <c r="L31">
        <v>1018</v>
      </c>
      <c r="M31" t="s">
        <v>29</v>
      </c>
      <c r="N31" t="s">
        <v>30</v>
      </c>
    </row>
    <row r="32" spans="1:15">
      <c r="A32" t="s">
        <v>15</v>
      </c>
      <c r="B32" t="s">
        <v>16</v>
      </c>
      <c r="C32">
        <v>706</v>
      </c>
      <c r="D32" t="s">
        <v>17</v>
      </c>
      <c r="E32">
        <v>5412</v>
      </c>
      <c r="F32" t="s">
        <v>24</v>
      </c>
      <c r="G32">
        <v>112</v>
      </c>
      <c r="H32" t="s">
        <v>19</v>
      </c>
      <c r="I32">
        <v>2018</v>
      </c>
      <c r="J32">
        <v>2018</v>
      </c>
      <c r="K32" t="s">
        <v>25</v>
      </c>
      <c r="L32">
        <v>1096.8</v>
      </c>
      <c r="M32" t="s">
        <v>21</v>
      </c>
      <c r="N32" t="s">
        <v>22</v>
      </c>
    </row>
    <row r="33" spans="1:15">
      <c r="A33" t="s">
        <v>15</v>
      </c>
      <c r="B33" t="s">
        <v>16</v>
      </c>
      <c r="C33">
        <v>706</v>
      </c>
      <c r="D33" t="s">
        <v>17</v>
      </c>
      <c r="E33">
        <v>5412</v>
      </c>
      <c r="F33" t="s">
        <v>24</v>
      </c>
      <c r="G33">
        <v>112</v>
      </c>
      <c r="H33" t="s">
        <v>19</v>
      </c>
      <c r="I33">
        <v>2013</v>
      </c>
      <c r="J33">
        <v>2013</v>
      </c>
      <c r="K33" t="s">
        <v>25</v>
      </c>
      <c r="L33">
        <v>1210</v>
      </c>
      <c r="M33" t="s">
        <v>21</v>
      </c>
      <c r="N33" t="s">
        <v>22</v>
      </c>
    </row>
    <row r="34" spans="1:15">
      <c r="A34" t="s">
        <v>15</v>
      </c>
      <c r="B34" t="s">
        <v>16</v>
      </c>
      <c r="C34">
        <v>706</v>
      </c>
      <c r="D34" t="s">
        <v>17</v>
      </c>
      <c r="E34">
        <v>5312</v>
      </c>
      <c r="F34" t="s">
        <v>18</v>
      </c>
      <c r="G34">
        <v>113</v>
      </c>
      <c r="H34" t="s">
        <v>28</v>
      </c>
      <c r="I34">
        <v>2013</v>
      </c>
      <c r="J34">
        <v>2013</v>
      </c>
      <c r="K34" t="s">
        <v>20</v>
      </c>
      <c r="L34">
        <v>1338</v>
      </c>
      <c r="M34" t="s">
        <v>21</v>
      </c>
      <c r="N34" t="s">
        <v>22</v>
      </c>
      <c r="O34" t="s">
        <v>23</v>
      </c>
    </row>
    <row r="35" spans="1:15">
      <c r="A35" t="s">
        <v>15</v>
      </c>
      <c r="B35" t="s">
        <v>16</v>
      </c>
      <c r="C35">
        <v>706</v>
      </c>
      <c r="D35" t="s">
        <v>17</v>
      </c>
      <c r="E35">
        <v>5510</v>
      </c>
      <c r="F35" t="s">
        <v>26</v>
      </c>
      <c r="G35">
        <v>113</v>
      </c>
      <c r="H35" t="s">
        <v>28</v>
      </c>
      <c r="I35">
        <v>2016</v>
      </c>
      <c r="J35">
        <v>2016</v>
      </c>
      <c r="K35" t="s">
        <v>27</v>
      </c>
      <c r="L35">
        <v>1375</v>
      </c>
      <c r="M35" t="s">
        <v>21</v>
      </c>
      <c r="N35" t="s">
        <v>22</v>
      </c>
      <c r="O35" t="s">
        <v>23</v>
      </c>
    </row>
    <row r="36" spans="1:15">
      <c r="A36" t="s">
        <v>15</v>
      </c>
      <c r="B36" t="s">
        <v>16</v>
      </c>
      <c r="C36">
        <v>706</v>
      </c>
      <c r="D36" t="s">
        <v>17</v>
      </c>
      <c r="E36">
        <v>5312</v>
      </c>
      <c r="F36" t="s">
        <v>18</v>
      </c>
      <c r="G36">
        <v>113</v>
      </c>
      <c r="H36" t="s">
        <v>28</v>
      </c>
      <c r="I36">
        <v>2015</v>
      </c>
      <c r="J36">
        <v>2015</v>
      </c>
      <c r="K36" t="s">
        <v>20</v>
      </c>
      <c r="L36">
        <v>1400</v>
      </c>
      <c r="M36" t="s">
        <v>21</v>
      </c>
      <c r="N36" t="s">
        <v>22</v>
      </c>
      <c r="O36" t="s">
        <v>23</v>
      </c>
    </row>
    <row r="37" spans="1:15">
      <c r="A37" t="s">
        <v>15</v>
      </c>
      <c r="B37" t="s">
        <v>16</v>
      </c>
      <c r="C37">
        <v>706</v>
      </c>
      <c r="D37" t="s">
        <v>17</v>
      </c>
      <c r="E37">
        <v>5412</v>
      </c>
      <c r="F37" t="s">
        <v>24</v>
      </c>
      <c r="G37">
        <v>113</v>
      </c>
      <c r="H37" t="s">
        <v>28</v>
      </c>
      <c r="I37">
        <v>2013</v>
      </c>
      <c r="J37">
        <v>2013</v>
      </c>
      <c r="K37" t="s">
        <v>25</v>
      </c>
      <c r="L37">
        <v>1472.3</v>
      </c>
      <c r="M37" t="s">
        <v>21</v>
      </c>
      <c r="N37" t="s">
        <v>22</v>
      </c>
    </row>
    <row r="38" spans="1:15">
      <c r="A38" t="s">
        <v>15</v>
      </c>
      <c r="B38" t="s">
        <v>16</v>
      </c>
      <c r="C38">
        <v>706</v>
      </c>
      <c r="D38" t="s">
        <v>17</v>
      </c>
      <c r="E38">
        <v>5510</v>
      </c>
      <c r="F38" t="s">
        <v>26</v>
      </c>
      <c r="G38">
        <v>113</v>
      </c>
      <c r="H38" t="s">
        <v>28</v>
      </c>
      <c r="I38">
        <v>2017</v>
      </c>
      <c r="J38">
        <v>2017</v>
      </c>
      <c r="K38" t="s">
        <v>27</v>
      </c>
      <c r="L38">
        <v>1473.51</v>
      </c>
      <c r="M38" t="s">
        <v>29</v>
      </c>
      <c r="N38" t="s">
        <v>30</v>
      </c>
    </row>
    <row r="39" spans="1:15">
      <c r="A39" t="s">
        <v>15</v>
      </c>
      <c r="B39" t="s">
        <v>16</v>
      </c>
      <c r="C39">
        <v>706</v>
      </c>
      <c r="D39" t="s">
        <v>17</v>
      </c>
      <c r="E39">
        <v>5412</v>
      </c>
      <c r="F39" t="s">
        <v>24</v>
      </c>
      <c r="G39">
        <v>113</v>
      </c>
      <c r="H39" t="s">
        <v>28</v>
      </c>
      <c r="I39">
        <v>2017</v>
      </c>
      <c r="J39">
        <v>2017</v>
      </c>
      <c r="K39" t="s">
        <v>25</v>
      </c>
      <c r="L39">
        <v>1727.4</v>
      </c>
      <c r="M39" t="s">
        <v>31</v>
      </c>
      <c r="N39" t="s">
        <v>32</v>
      </c>
    </row>
    <row r="40" spans="1:15">
      <c r="A40" t="s">
        <v>15</v>
      </c>
      <c r="B40" t="s">
        <v>16</v>
      </c>
      <c r="C40">
        <v>706</v>
      </c>
      <c r="D40" t="s">
        <v>17</v>
      </c>
      <c r="E40">
        <v>5412</v>
      </c>
      <c r="F40" t="s">
        <v>24</v>
      </c>
      <c r="G40">
        <v>113</v>
      </c>
      <c r="H40" t="s">
        <v>28</v>
      </c>
      <c r="I40">
        <v>2015</v>
      </c>
      <c r="J40">
        <v>2015</v>
      </c>
      <c r="K40" t="s">
        <v>25</v>
      </c>
      <c r="L40">
        <v>1750</v>
      </c>
      <c r="M40" t="s">
        <v>21</v>
      </c>
      <c r="N40" t="s">
        <v>22</v>
      </c>
    </row>
    <row r="41" spans="1:15">
      <c r="A41" t="s">
        <v>15</v>
      </c>
      <c r="B41" t="s">
        <v>16</v>
      </c>
      <c r="C41">
        <v>706</v>
      </c>
      <c r="D41" t="s">
        <v>17</v>
      </c>
      <c r="E41">
        <v>5412</v>
      </c>
      <c r="F41" t="s">
        <v>24</v>
      </c>
      <c r="G41">
        <v>113</v>
      </c>
      <c r="H41" t="s">
        <v>28</v>
      </c>
      <c r="I41">
        <v>2018</v>
      </c>
      <c r="J41">
        <v>2018</v>
      </c>
      <c r="K41" t="s">
        <v>25</v>
      </c>
      <c r="L41">
        <v>1764.4</v>
      </c>
      <c r="M41" t="s">
        <v>31</v>
      </c>
      <c r="N41" t="s">
        <v>32</v>
      </c>
    </row>
    <row r="42" spans="1:15">
      <c r="A42" t="s">
        <v>15</v>
      </c>
      <c r="B42" t="s">
        <v>16</v>
      </c>
      <c r="C42">
        <v>706</v>
      </c>
      <c r="D42" t="s">
        <v>17</v>
      </c>
      <c r="E42">
        <v>5510</v>
      </c>
      <c r="F42" t="s">
        <v>26</v>
      </c>
      <c r="G42">
        <v>113</v>
      </c>
      <c r="H42" t="s">
        <v>28</v>
      </c>
      <c r="I42">
        <v>2018</v>
      </c>
      <c r="J42">
        <v>2018</v>
      </c>
      <c r="K42" t="s">
        <v>27</v>
      </c>
      <c r="L42">
        <v>1766.17</v>
      </c>
      <c r="M42" t="s">
        <v>31</v>
      </c>
      <c r="N42" t="s">
        <v>32</v>
      </c>
    </row>
    <row r="43" spans="1:15">
      <c r="A43" t="s">
        <v>15</v>
      </c>
      <c r="B43" t="s">
        <v>16</v>
      </c>
      <c r="C43">
        <v>706</v>
      </c>
      <c r="D43" t="s">
        <v>17</v>
      </c>
      <c r="E43">
        <v>5412</v>
      </c>
      <c r="F43" t="s">
        <v>24</v>
      </c>
      <c r="G43">
        <v>113</v>
      </c>
      <c r="H43" t="s">
        <v>28</v>
      </c>
      <c r="I43">
        <v>2016</v>
      </c>
      <c r="J43">
        <v>2016</v>
      </c>
      <c r="K43" t="s">
        <v>25</v>
      </c>
      <c r="L43">
        <v>1833.3</v>
      </c>
      <c r="M43" t="s">
        <v>21</v>
      </c>
      <c r="N43" t="s">
        <v>22</v>
      </c>
    </row>
    <row r="44" spans="1:15">
      <c r="A44" t="s">
        <v>15</v>
      </c>
      <c r="B44" t="s">
        <v>16</v>
      </c>
      <c r="C44">
        <v>706</v>
      </c>
      <c r="D44" t="s">
        <v>17</v>
      </c>
      <c r="E44">
        <v>5510</v>
      </c>
      <c r="F44" t="s">
        <v>26</v>
      </c>
      <c r="G44">
        <v>113</v>
      </c>
      <c r="H44" t="s">
        <v>28</v>
      </c>
      <c r="I44">
        <v>2013</v>
      </c>
      <c r="J44">
        <v>2013</v>
      </c>
      <c r="K44" t="s">
        <v>27</v>
      </c>
      <c r="L44">
        <v>1970</v>
      </c>
      <c r="M44" t="s">
        <v>21</v>
      </c>
      <c r="N44" t="s">
        <v>22</v>
      </c>
      <c r="O44" t="s">
        <v>23</v>
      </c>
    </row>
    <row r="45" spans="1:15">
      <c r="A45" t="s">
        <v>15</v>
      </c>
      <c r="B45" t="s">
        <v>16</v>
      </c>
      <c r="C45">
        <v>706</v>
      </c>
      <c r="D45" t="s">
        <v>17</v>
      </c>
      <c r="E45">
        <v>5412</v>
      </c>
      <c r="F45" t="s">
        <v>24</v>
      </c>
      <c r="G45">
        <v>113</v>
      </c>
      <c r="H45" t="s">
        <v>28</v>
      </c>
      <c r="I45">
        <v>2014</v>
      </c>
      <c r="J45">
        <v>2014</v>
      </c>
      <c r="K45" t="s">
        <v>25</v>
      </c>
      <c r="L45">
        <v>2000</v>
      </c>
      <c r="M45" t="s">
        <v>21</v>
      </c>
      <c r="N45" t="s">
        <v>22</v>
      </c>
    </row>
    <row r="46" spans="1:15">
      <c r="A46" t="s">
        <v>15</v>
      </c>
      <c r="B46" t="s">
        <v>16</v>
      </c>
      <c r="C46">
        <v>706</v>
      </c>
      <c r="D46" t="s">
        <v>17</v>
      </c>
      <c r="E46">
        <v>5412</v>
      </c>
      <c r="F46" t="s">
        <v>24</v>
      </c>
      <c r="G46">
        <v>113</v>
      </c>
      <c r="H46" t="s">
        <v>28</v>
      </c>
      <c r="I46">
        <v>2021</v>
      </c>
      <c r="J46">
        <v>2021</v>
      </c>
      <c r="K46" t="s">
        <v>25</v>
      </c>
      <c r="L46">
        <v>2000</v>
      </c>
      <c r="M46" t="s">
        <v>21</v>
      </c>
      <c r="N46" t="s">
        <v>22</v>
      </c>
    </row>
    <row r="47" spans="1:15">
      <c r="A47" t="s">
        <v>15</v>
      </c>
      <c r="B47" t="s">
        <v>16</v>
      </c>
      <c r="C47">
        <v>706</v>
      </c>
      <c r="D47" t="s">
        <v>17</v>
      </c>
      <c r="E47">
        <v>5510</v>
      </c>
      <c r="F47" t="s">
        <v>26</v>
      </c>
      <c r="G47">
        <v>113</v>
      </c>
      <c r="H47" t="s">
        <v>28</v>
      </c>
      <c r="I47">
        <v>2021</v>
      </c>
      <c r="J47">
        <v>2021</v>
      </c>
      <c r="K47" t="s">
        <v>27</v>
      </c>
      <c r="L47">
        <v>2000</v>
      </c>
      <c r="M47" t="s">
        <v>21</v>
      </c>
      <c r="N47" t="s">
        <v>22</v>
      </c>
      <c r="O47" t="s">
        <v>23</v>
      </c>
    </row>
    <row r="48" spans="1:15">
      <c r="A48" t="s">
        <v>15</v>
      </c>
      <c r="B48" t="s">
        <v>16</v>
      </c>
      <c r="C48">
        <v>706</v>
      </c>
      <c r="D48" t="s">
        <v>17</v>
      </c>
      <c r="E48">
        <v>5412</v>
      </c>
      <c r="F48" t="s">
        <v>24</v>
      </c>
      <c r="G48">
        <v>113</v>
      </c>
      <c r="H48" t="s">
        <v>28</v>
      </c>
      <c r="I48">
        <v>2022</v>
      </c>
      <c r="J48">
        <v>2022</v>
      </c>
      <c r="K48" t="s">
        <v>25</v>
      </c>
      <c r="L48">
        <v>2000</v>
      </c>
      <c r="M48" t="s">
        <v>21</v>
      </c>
      <c r="N48" t="s">
        <v>22</v>
      </c>
    </row>
    <row r="49" spans="1:15">
      <c r="A49" t="s">
        <v>15</v>
      </c>
      <c r="B49" t="s">
        <v>16</v>
      </c>
      <c r="C49">
        <v>706</v>
      </c>
      <c r="D49" t="s">
        <v>17</v>
      </c>
      <c r="E49">
        <v>5510</v>
      </c>
      <c r="F49" t="s">
        <v>26</v>
      </c>
      <c r="G49">
        <v>113</v>
      </c>
      <c r="H49" t="s">
        <v>28</v>
      </c>
      <c r="I49">
        <v>2022</v>
      </c>
      <c r="J49">
        <v>2022</v>
      </c>
      <c r="K49" t="s">
        <v>27</v>
      </c>
      <c r="L49">
        <v>2000</v>
      </c>
      <c r="M49" t="s">
        <v>21</v>
      </c>
      <c r="N49" t="s">
        <v>22</v>
      </c>
      <c r="O49" t="s">
        <v>23</v>
      </c>
    </row>
    <row r="50" spans="1:15">
      <c r="A50" t="s">
        <v>15</v>
      </c>
      <c r="B50" t="s">
        <v>16</v>
      </c>
      <c r="C50">
        <v>706</v>
      </c>
      <c r="D50" t="s">
        <v>17</v>
      </c>
      <c r="E50">
        <v>5412</v>
      </c>
      <c r="F50" t="s">
        <v>24</v>
      </c>
      <c r="G50">
        <v>113</v>
      </c>
      <c r="H50" t="s">
        <v>28</v>
      </c>
      <c r="I50">
        <v>2023</v>
      </c>
      <c r="J50">
        <v>2023</v>
      </c>
      <c r="K50" t="s">
        <v>25</v>
      </c>
      <c r="L50">
        <v>2000</v>
      </c>
      <c r="M50" t="s">
        <v>21</v>
      </c>
      <c r="N50" t="s">
        <v>22</v>
      </c>
    </row>
    <row r="51" spans="1:15">
      <c r="A51" t="s">
        <v>15</v>
      </c>
      <c r="B51" t="s">
        <v>16</v>
      </c>
      <c r="C51">
        <v>706</v>
      </c>
      <c r="D51" t="s">
        <v>17</v>
      </c>
      <c r="E51">
        <v>5510</v>
      </c>
      <c r="F51" t="s">
        <v>26</v>
      </c>
      <c r="G51">
        <v>113</v>
      </c>
      <c r="H51" t="s">
        <v>28</v>
      </c>
      <c r="I51">
        <v>2023</v>
      </c>
      <c r="J51">
        <v>2023</v>
      </c>
      <c r="K51" t="s">
        <v>27</v>
      </c>
      <c r="L51">
        <v>2000</v>
      </c>
      <c r="M51" t="s">
        <v>21</v>
      </c>
      <c r="N51" t="s">
        <v>22</v>
      </c>
      <c r="O51" t="s">
        <v>23</v>
      </c>
    </row>
    <row r="52" spans="1:15">
      <c r="A52" t="s">
        <v>15</v>
      </c>
      <c r="B52" t="s">
        <v>16</v>
      </c>
      <c r="C52">
        <v>706</v>
      </c>
      <c r="D52" t="s">
        <v>17</v>
      </c>
      <c r="E52">
        <v>5510</v>
      </c>
      <c r="F52" t="s">
        <v>26</v>
      </c>
      <c r="G52">
        <v>113</v>
      </c>
      <c r="H52" t="s">
        <v>28</v>
      </c>
      <c r="I52">
        <v>2019</v>
      </c>
      <c r="J52">
        <v>2019</v>
      </c>
      <c r="K52" t="s">
        <v>27</v>
      </c>
      <c r="L52">
        <v>2002.59</v>
      </c>
      <c r="M52" t="s">
        <v>29</v>
      </c>
      <c r="N52" t="s">
        <v>30</v>
      </c>
    </row>
    <row r="53" spans="1:15">
      <c r="A53" t="s">
        <v>15</v>
      </c>
      <c r="B53" t="s">
        <v>16</v>
      </c>
      <c r="C53">
        <v>706</v>
      </c>
      <c r="D53" t="s">
        <v>17</v>
      </c>
      <c r="E53">
        <v>5412</v>
      </c>
      <c r="F53" t="s">
        <v>24</v>
      </c>
      <c r="G53">
        <v>113</v>
      </c>
      <c r="H53" t="s">
        <v>28</v>
      </c>
      <c r="I53">
        <v>2019</v>
      </c>
      <c r="J53">
        <v>2019</v>
      </c>
      <c r="K53" t="s">
        <v>25</v>
      </c>
      <c r="L53">
        <v>2006.3</v>
      </c>
      <c r="M53" t="s">
        <v>31</v>
      </c>
      <c r="N53" t="s">
        <v>32</v>
      </c>
    </row>
    <row r="54" spans="1:15">
      <c r="A54" t="s">
        <v>15</v>
      </c>
      <c r="B54" t="s">
        <v>16</v>
      </c>
      <c r="C54">
        <v>706</v>
      </c>
      <c r="D54" t="s">
        <v>17</v>
      </c>
      <c r="E54">
        <v>5412</v>
      </c>
      <c r="F54" t="s">
        <v>24</v>
      </c>
      <c r="G54">
        <v>113</v>
      </c>
      <c r="H54" t="s">
        <v>28</v>
      </c>
      <c r="I54">
        <v>2020</v>
      </c>
      <c r="J54">
        <v>2020</v>
      </c>
      <c r="K54" t="s">
        <v>25</v>
      </c>
      <c r="L54">
        <v>2049</v>
      </c>
      <c r="M54" t="s">
        <v>31</v>
      </c>
      <c r="N54" t="s">
        <v>32</v>
      </c>
    </row>
    <row r="55" spans="1:15">
      <c r="A55" t="s">
        <v>15</v>
      </c>
      <c r="B55" t="s">
        <v>16</v>
      </c>
      <c r="C55">
        <v>706</v>
      </c>
      <c r="D55" t="s">
        <v>17</v>
      </c>
      <c r="E55">
        <v>5510</v>
      </c>
      <c r="F55" t="s">
        <v>26</v>
      </c>
      <c r="G55">
        <v>113</v>
      </c>
      <c r="H55" t="s">
        <v>28</v>
      </c>
      <c r="I55">
        <v>2020</v>
      </c>
      <c r="J55">
        <v>2020</v>
      </c>
      <c r="K55" t="s">
        <v>27</v>
      </c>
      <c r="L55">
        <v>2086.71</v>
      </c>
      <c r="M55" t="s">
        <v>29</v>
      </c>
      <c r="N55" t="s">
        <v>30</v>
      </c>
    </row>
    <row r="56" spans="1:15">
      <c r="A56" t="s">
        <v>15</v>
      </c>
      <c r="B56" t="s">
        <v>16</v>
      </c>
      <c r="C56">
        <v>706</v>
      </c>
      <c r="D56" t="s">
        <v>17</v>
      </c>
      <c r="E56">
        <v>5510</v>
      </c>
      <c r="F56" t="s">
        <v>26</v>
      </c>
      <c r="G56">
        <v>113</v>
      </c>
      <c r="H56" t="s">
        <v>28</v>
      </c>
      <c r="I56">
        <v>2015</v>
      </c>
      <c r="J56">
        <v>2015</v>
      </c>
      <c r="K56" t="s">
        <v>27</v>
      </c>
      <c r="L56">
        <v>2450</v>
      </c>
      <c r="M56" t="s">
        <v>21</v>
      </c>
      <c r="N56" t="s">
        <v>22</v>
      </c>
      <c r="O56" t="s">
        <v>23</v>
      </c>
    </row>
    <row r="57" spans="1:15">
      <c r="A57" t="s">
        <v>15</v>
      </c>
      <c r="B57" t="s">
        <v>16</v>
      </c>
      <c r="C57">
        <v>706</v>
      </c>
      <c r="D57" t="s">
        <v>17</v>
      </c>
      <c r="E57">
        <v>5510</v>
      </c>
      <c r="F57" t="s">
        <v>26</v>
      </c>
      <c r="G57">
        <v>112</v>
      </c>
      <c r="H57" t="s">
        <v>19</v>
      </c>
      <c r="I57">
        <v>2021</v>
      </c>
      <c r="J57">
        <v>2021</v>
      </c>
      <c r="K57" t="s">
        <v>27</v>
      </c>
      <c r="L57">
        <v>49000</v>
      </c>
      <c r="M57" t="s">
        <v>21</v>
      </c>
      <c r="N57" t="s">
        <v>22</v>
      </c>
      <c r="O57" t="s">
        <v>23</v>
      </c>
    </row>
    <row r="58" spans="1:15">
      <c r="A58" t="s">
        <v>15</v>
      </c>
      <c r="B58" t="s">
        <v>16</v>
      </c>
      <c r="C58">
        <v>706</v>
      </c>
      <c r="D58" t="s">
        <v>17</v>
      </c>
      <c r="E58">
        <v>5510</v>
      </c>
      <c r="F58" t="s">
        <v>26</v>
      </c>
      <c r="G58">
        <v>112</v>
      </c>
      <c r="H58" t="s">
        <v>19</v>
      </c>
      <c r="I58">
        <v>2019</v>
      </c>
      <c r="J58">
        <v>2019</v>
      </c>
      <c r="K58" t="s">
        <v>27</v>
      </c>
      <c r="L58">
        <v>57000</v>
      </c>
      <c r="M58" t="s">
        <v>21</v>
      </c>
      <c r="N58" t="s">
        <v>22</v>
      </c>
      <c r="O58" t="s">
        <v>23</v>
      </c>
    </row>
    <row r="59" spans="1:15">
      <c r="A59" t="s">
        <v>15</v>
      </c>
      <c r="B59" t="s">
        <v>16</v>
      </c>
      <c r="C59">
        <v>706</v>
      </c>
      <c r="D59" t="s">
        <v>17</v>
      </c>
      <c r="E59">
        <v>5510</v>
      </c>
      <c r="F59" t="s">
        <v>26</v>
      </c>
      <c r="G59">
        <v>114</v>
      </c>
      <c r="H59" t="s">
        <v>33</v>
      </c>
      <c r="I59">
        <v>2021</v>
      </c>
      <c r="J59">
        <v>2021</v>
      </c>
      <c r="K59" t="s">
        <v>27</v>
      </c>
      <c r="L59">
        <v>59000</v>
      </c>
      <c r="M59" t="s">
        <v>21</v>
      </c>
      <c r="N59" t="s">
        <v>22</v>
      </c>
      <c r="O59" t="s">
        <v>23</v>
      </c>
    </row>
    <row r="60" spans="1:15">
      <c r="A60" t="s">
        <v>15</v>
      </c>
      <c r="B60" t="s">
        <v>16</v>
      </c>
      <c r="C60">
        <v>706</v>
      </c>
      <c r="D60" t="s">
        <v>17</v>
      </c>
      <c r="E60">
        <v>5510</v>
      </c>
      <c r="F60" t="s">
        <v>26</v>
      </c>
      <c r="G60">
        <v>112</v>
      </c>
      <c r="H60" t="s">
        <v>19</v>
      </c>
      <c r="I60">
        <v>2016</v>
      </c>
      <c r="J60">
        <v>2016</v>
      </c>
      <c r="K60" t="s">
        <v>27</v>
      </c>
      <c r="L60">
        <v>60000</v>
      </c>
      <c r="M60" t="s">
        <v>21</v>
      </c>
      <c r="N60" t="s">
        <v>22</v>
      </c>
      <c r="O60" t="s">
        <v>23</v>
      </c>
    </row>
    <row r="61" spans="1:15">
      <c r="A61" t="s">
        <v>15</v>
      </c>
      <c r="B61" t="s">
        <v>16</v>
      </c>
      <c r="C61">
        <v>706</v>
      </c>
      <c r="D61" t="s">
        <v>17</v>
      </c>
      <c r="E61">
        <v>5510</v>
      </c>
      <c r="F61" t="s">
        <v>26</v>
      </c>
      <c r="G61">
        <v>112</v>
      </c>
      <c r="H61" t="s">
        <v>19</v>
      </c>
      <c r="I61">
        <v>2022</v>
      </c>
      <c r="J61">
        <v>2022</v>
      </c>
      <c r="K61" t="s">
        <v>27</v>
      </c>
      <c r="L61">
        <v>65000</v>
      </c>
      <c r="M61" t="s">
        <v>21</v>
      </c>
      <c r="N61" t="s">
        <v>22</v>
      </c>
      <c r="O61" t="s">
        <v>23</v>
      </c>
    </row>
    <row r="62" spans="1:15">
      <c r="A62" t="s">
        <v>15</v>
      </c>
      <c r="B62" t="s">
        <v>16</v>
      </c>
      <c r="C62">
        <v>706</v>
      </c>
      <c r="D62" t="s">
        <v>17</v>
      </c>
      <c r="E62">
        <v>5510</v>
      </c>
      <c r="F62" t="s">
        <v>26</v>
      </c>
      <c r="G62">
        <v>114</v>
      </c>
      <c r="H62" t="s">
        <v>33</v>
      </c>
      <c r="I62">
        <v>2023</v>
      </c>
      <c r="J62">
        <v>2023</v>
      </c>
      <c r="K62" t="s">
        <v>27</v>
      </c>
      <c r="L62">
        <v>71000</v>
      </c>
      <c r="M62" t="s">
        <v>21</v>
      </c>
      <c r="N62" t="s">
        <v>22</v>
      </c>
      <c r="O62" t="s">
        <v>23</v>
      </c>
    </row>
    <row r="63" spans="1:15">
      <c r="A63" t="s">
        <v>15</v>
      </c>
      <c r="B63" t="s">
        <v>16</v>
      </c>
      <c r="C63">
        <v>706</v>
      </c>
      <c r="D63" t="s">
        <v>17</v>
      </c>
      <c r="E63">
        <v>5510</v>
      </c>
      <c r="F63" t="s">
        <v>26</v>
      </c>
      <c r="G63">
        <v>114</v>
      </c>
      <c r="H63" t="s">
        <v>33</v>
      </c>
      <c r="I63">
        <v>2022</v>
      </c>
      <c r="J63">
        <v>2022</v>
      </c>
      <c r="K63" t="s">
        <v>27</v>
      </c>
      <c r="L63">
        <v>72000</v>
      </c>
      <c r="M63" t="s">
        <v>21</v>
      </c>
      <c r="N63" t="s">
        <v>22</v>
      </c>
      <c r="O63" t="s">
        <v>23</v>
      </c>
    </row>
    <row r="64" spans="1:15">
      <c r="A64" t="s">
        <v>15</v>
      </c>
      <c r="B64" t="s">
        <v>16</v>
      </c>
      <c r="C64">
        <v>706</v>
      </c>
      <c r="D64" t="s">
        <v>17</v>
      </c>
      <c r="E64">
        <v>5510</v>
      </c>
      <c r="F64" t="s">
        <v>26</v>
      </c>
      <c r="G64">
        <v>112</v>
      </c>
      <c r="H64" t="s">
        <v>19</v>
      </c>
      <c r="I64">
        <v>2020</v>
      </c>
      <c r="J64">
        <v>2020</v>
      </c>
      <c r="K64" t="s">
        <v>27</v>
      </c>
      <c r="L64">
        <v>75000</v>
      </c>
      <c r="M64" t="s">
        <v>21</v>
      </c>
      <c r="N64" t="s">
        <v>22</v>
      </c>
      <c r="O64" t="s">
        <v>23</v>
      </c>
    </row>
    <row r="65" spans="1:15">
      <c r="A65" t="s">
        <v>15</v>
      </c>
      <c r="B65" t="s">
        <v>16</v>
      </c>
      <c r="C65">
        <v>706</v>
      </c>
      <c r="D65" t="s">
        <v>17</v>
      </c>
      <c r="E65">
        <v>5510</v>
      </c>
      <c r="F65" t="s">
        <v>26</v>
      </c>
      <c r="G65">
        <v>112</v>
      </c>
      <c r="H65" t="s">
        <v>19</v>
      </c>
      <c r="I65">
        <v>2017</v>
      </c>
      <c r="J65">
        <v>2017</v>
      </c>
      <c r="K65" t="s">
        <v>27</v>
      </c>
      <c r="L65">
        <v>77000</v>
      </c>
      <c r="M65" t="s">
        <v>21</v>
      </c>
      <c r="N65" t="s">
        <v>22</v>
      </c>
      <c r="O65" t="s">
        <v>23</v>
      </c>
    </row>
    <row r="66" spans="1:15">
      <c r="A66" t="s">
        <v>15</v>
      </c>
      <c r="B66" t="s">
        <v>16</v>
      </c>
      <c r="C66">
        <v>706</v>
      </c>
      <c r="D66" t="s">
        <v>17</v>
      </c>
      <c r="E66">
        <v>5510</v>
      </c>
      <c r="F66" t="s">
        <v>26</v>
      </c>
      <c r="G66">
        <v>114</v>
      </c>
      <c r="H66" t="s">
        <v>33</v>
      </c>
      <c r="I66">
        <v>2016</v>
      </c>
      <c r="J66">
        <v>2016</v>
      </c>
      <c r="K66" t="s">
        <v>27</v>
      </c>
      <c r="L66">
        <v>80000</v>
      </c>
      <c r="M66" t="s">
        <v>21</v>
      </c>
      <c r="N66" t="s">
        <v>22</v>
      </c>
      <c r="O66" t="s">
        <v>23</v>
      </c>
    </row>
    <row r="67" spans="1:15">
      <c r="A67" t="s">
        <v>15</v>
      </c>
      <c r="B67" t="s">
        <v>16</v>
      </c>
      <c r="C67">
        <v>706</v>
      </c>
      <c r="D67" t="s">
        <v>17</v>
      </c>
      <c r="E67">
        <v>5312</v>
      </c>
      <c r="F67" t="s">
        <v>18</v>
      </c>
      <c r="G67">
        <v>112</v>
      </c>
      <c r="H67" t="s">
        <v>19</v>
      </c>
      <c r="I67">
        <v>2018</v>
      </c>
      <c r="J67">
        <v>2018</v>
      </c>
      <c r="K67" t="s">
        <v>20</v>
      </c>
      <c r="L67">
        <v>93000</v>
      </c>
      <c r="M67" t="s">
        <v>21</v>
      </c>
      <c r="N67" t="s">
        <v>22</v>
      </c>
      <c r="O67" t="s">
        <v>23</v>
      </c>
    </row>
    <row r="68" spans="1:15">
      <c r="A68" t="s">
        <v>15</v>
      </c>
      <c r="B68" t="s">
        <v>16</v>
      </c>
      <c r="C68">
        <v>706</v>
      </c>
      <c r="D68" t="s">
        <v>17</v>
      </c>
      <c r="E68">
        <v>5510</v>
      </c>
      <c r="F68" t="s">
        <v>26</v>
      </c>
      <c r="G68">
        <v>112</v>
      </c>
      <c r="H68" t="s">
        <v>19</v>
      </c>
      <c r="I68">
        <v>2023</v>
      </c>
      <c r="J68">
        <v>2023</v>
      </c>
      <c r="K68" t="s">
        <v>27</v>
      </c>
      <c r="L68">
        <v>95000</v>
      </c>
      <c r="M68" t="s">
        <v>21</v>
      </c>
      <c r="N68" t="s">
        <v>22</v>
      </c>
      <c r="O68" t="s">
        <v>23</v>
      </c>
    </row>
    <row r="69" spans="1:15">
      <c r="A69" t="s">
        <v>15</v>
      </c>
      <c r="B69" t="s">
        <v>16</v>
      </c>
      <c r="C69">
        <v>706</v>
      </c>
      <c r="D69" t="s">
        <v>17</v>
      </c>
      <c r="E69">
        <v>5510</v>
      </c>
      <c r="F69" t="s">
        <v>26</v>
      </c>
      <c r="G69">
        <v>114</v>
      </c>
      <c r="H69" t="s">
        <v>33</v>
      </c>
      <c r="I69">
        <v>2017</v>
      </c>
      <c r="J69">
        <v>2017</v>
      </c>
      <c r="K69" t="s">
        <v>27</v>
      </c>
      <c r="L69">
        <v>95000</v>
      </c>
      <c r="M69" t="s">
        <v>21</v>
      </c>
      <c r="N69" t="s">
        <v>22</v>
      </c>
      <c r="O69" t="s">
        <v>23</v>
      </c>
    </row>
    <row r="70" spans="1:15">
      <c r="A70" t="s">
        <v>15</v>
      </c>
      <c r="B70" t="s">
        <v>16</v>
      </c>
      <c r="C70">
        <v>706</v>
      </c>
      <c r="D70" t="s">
        <v>17</v>
      </c>
      <c r="E70">
        <v>5312</v>
      </c>
      <c r="F70" t="s">
        <v>18</v>
      </c>
      <c r="G70">
        <v>112</v>
      </c>
      <c r="H70" t="s">
        <v>19</v>
      </c>
      <c r="I70">
        <v>2017</v>
      </c>
      <c r="J70">
        <v>2017</v>
      </c>
      <c r="K70" t="s">
        <v>20</v>
      </c>
      <c r="L70">
        <v>100000</v>
      </c>
      <c r="M70" t="s">
        <v>21</v>
      </c>
      <c r="N70" t="s">
        <v>22</v>
      </c>
      <c r="O70" t="s">
        <v>23</v>
      </c>
    </row>
    <row r="71" spans="1:15">
      <c r="A71" t="s">
        <v>15</v>
      </c>
      <c r="B71" t="s">
        <v>16</v>
      </c>
      <c r="C71">
        <v>706</v>
      </c>
      <c r="D71" t="s">
        <v>17</v>
      </c>
      <c r="E71">
        <v>5312</v>
      </c>
      <c r="F71" t="s">
        <v>18</v>
      </c>
      <c r="G71">
        <v>112</v>
      </c>
      <c r="H71" t="s">
        <v>19</v>
      </c>
      <c r="I71">
        <v>2019</v>
      </c>
      <c r="J71">
        <v>2019</v>
      </c>
      <c r="K71" t="s">
        <v>20</v>
      </c>
      <c r="L71">
        <v>100000</v>
      </c>
      <c r="M71" t="s">
        <v>21</v>
      </c>
      <c r="N71" t="s">
        <v>22</v>
      </c>
      <c r="O71" t="s">
        <v>23</v>
      </c>
    </row>
    <row r="72" spans="1:15">
      <c r="A72" t="s">
        <v>15</v>
      </c>
      <c r="B72" t="s">
        <v>16</v>
      </c>
      <c r="C72">
        <v>706</v>
      </c>
      <c r="D72" t="s">
        <v>17</v>
      </c>
      <c r="E72">
        <v>5312</v>
      </c>
      <c r="F72" t="s">
        <v>18</v>
      </c>
      <c r="G72">
        <v>112</v>
      </c>
      <c r="H72" t="s">
        <v>19</v>
      </c>
      <c r="I72">
        <v>2020</v>
      </c>
      <c r="J72">
        <v>2020</v>
      </c>
      <c r="K72" t="s">
        <v>20</v>
      </c>
      <c r="L72">
        <v>100000</v>
      </c>
      <c r="M72" t="s">
        <v>21</v>
      </c>
      <c r="N72" t="s">
        <v>22</v>
      </c>
      <c r="O72" t="s">
        <v>23</v>
      </c>
    </row>
    <row r="73" spans="1:15">
      <c r="A73" t="s">
        <v>15</v>
      </c>
      <c r="B73" t="s">
        <v>16</v>
      </c>
      <c r="C73">
        <v>706</v>
      </c>
      <c r="D73" t="s">
        <v>17</v>
      </c>
      <c r="E73">
        <v>5312</v>
      </c>
      <c r="F73" t="s">
        <v>18</v>
      </c>
      <c r="G73">
        <v>112</v>
      </c>
      <c r="H73" t="s">
        <v>19</v>
      </c>
      <c r="I73">
        <v>2021</v>
      </c>
      <c r="J73">
        <v>2021</v>
      </c>
      <c r="K73" t="s">
        <v>20</v>
      </c>
      <c r="L73">
        <v>100000</v>
      </c>
      <c r="M73" t="s">
        <v>21</v>
      </c>
      <c r="N73" t="s">
        <v>22</v>
      </c>
      <c r="O73" t="s">
        <v>23</v>
      </c>
    </row>
    <row r="74" spans="1:15">
      <c r="A74" t="s">
        <v>15</v>
      </c>
      <c r="B74" t="s">
        <v>16</v>
      </c>
      <c r="C74">
        <v>706</v>
      </c>
      <c r="D74" t="s">
        <v>17</v>
      </c>
      <c r="E74">
        <v>5312</v>
      </c>
      <c r="F74" t="s">
        <v>18</v>
      </c>
      <c r="G74">
        <v>112</v>
      </c>
      <c r="H74" t="s">
        <v>19</v>
      </c>
      <c r="I74">
        <v>2022</v>
      </c>
      <c r="J74">
        <v>2022</v>
      </c>
      <c r="K74" t="s">
        <v>20</v>
      </c>
      <c r="L74">
        <v>100000</v>
      </c>
      <c r="M74" t="s">
        <v>21</v>
      </c>
      <c r="N74" t="s">
        <v>22</v>
      </c>
      <c r="O74" t="s">
        <v>23</v>
      </c>
    </row>
    <row r="75" spans="1:15">
      <c r="A75" t="s">
        <v>15</v>
      </c>
      <c r="B75" t="s">
        <v>16</v>
      </c>
      <c r="C75">
        <v>706</v>
      </c>
      <c r="D75" t="s">
        <v>17</v>
      </c>
      <c r="E75">
        <v>5312</v>
      </c>
      <c r="F75" t="s">
        <v>18</v>
      </c>
      <c r="G75">
        <v>112</v>
      </c>
      <c r="H75" t="s">
        <v>19</v>
      </c>
      <c r="I75">
        <v>2023</v>
      </c>
      <c r="J75">
        <v>2023</v>
      </c>
      <c r="K75" t="s">
        <v>20</v>
      </c>
      <c r="L75">
        <v>100000</v>
      </c>
      <c r="M75" t="s">
        <v>21</v>
      </c>
      <c r="N75" t="s">
        <v>22</v>
      </c>
      <c r="O75" t="s">
        <v>23</v>
      </c>
    </row>
    <row r="76" spans="1:15">
      <c r="A76" t="s">
        <v>15</v>
      </c>
      <c r="B76" t="s">
        <v>16</v>
      </c>
      <c r="C76">
        <v>706</v>
      </c>
      <c r="D76" t="s">
        <v>17</v>
      </c>
      <c r="E76">
        <v>5510</v>
      </c>
      <c r="F76" t="s">
        <v>26</v>
      </c>
      <c r="G76">
        <v>114</v>
      </c>
      <c r="H76" t="s">
        <v>33</v>
      </c>
      <c r="I76">
        <v>2020</v>
      </c>
      <c r="J76">
        <v>2020</v>
      </c>
      <c r="K76" t="s">
        <v>27</v>
      </c>
      <c r="L76">
        <v>100000</v>
      </c>
      <c r="M76" t="s">
        <v>21</v>
      </c>
      <c r="N76" t="s">
        <v>22</v>
      </c>
      <c r="O76" t="s">
        <v>23</v>
      </c>
    </row>
    <row r="77" spans="1:15">
      <c r="A77" t="s">
        <v>15</v>
      </c>
      <c r="B77" t="s">
        <v>16</v>
      </c>
      <c r="C77">
        <v>706</v>
      </c>
      <c r="D77" t="s">
        <v>17</v>
      </c>
      <c r="E77">
        <v>5510</v>
      </c>
      <c r="F77" t="s">
        <v>26</v>
      </c>
      <c r="G77">
        <v>112</v>
      </c>
      <c r="H77" t="s">
        <v>19</v>
      </c>
      <c r="I77">
        <v>2018</v>
      </c>
      <c r="J77">
        <v>2018</v>
      </c>
      <c r="K77" t="s">
        <v>27</v>
      </c>
      <c r="L77">
        <v>102000</v>
      </c>
      <c r="M77" t="s">
        <v>21</v>
      </c>
      <c r="N77" t="s">
        <v>22</v>
      </c>
      <c r="O77" t="s">
        <v>23</v>
      </c>
    </row>
    <row r="78" spans="1:15">
      <c r="A78" t="s">
        <v>15</v>
      </c>
      <c r="B78" t="s">
        <v>16</v>
      </c>
      <c r="C78">
        <v>706</v>
      </c>
      <c r="D78" t="s">
        <v>17</v>
      </c>
      <c r="E78">
        <v>5510</v>
      </c>
      <c r="F78" t="s">
        <v>26</v>
      </c>
      <c r="G78">
        <v>112</v>
      </c>
      <c r="H78" t="s">
        <v>19</v>
      </c>
      <c r="I78">
        <v>2014</v>
      </c>
      <c r="J78">
        <v>2014</v>
      </c>
      <c r="K78" t="s">
        <v>27</v>
      </c>
      <c r="L78">
        <v>107000</v>
      </c>
      <c r="M78" t="s">
        <v>21</v>
      </c>
      <c r="N78" t="s">
        <v>22</v>
      </c>
      <c r="O78" t="s">
        <v>23</v>
      </c>
    </row>
    <row r="79" spans="1:15">
      <c r="A79" t="s">
        <v>15</v>
      </c>
      <c r="B79" t="s">
        <v>16</v>
      </c>
      <c r="C79">
        <v>706</v>
      </c>
      <c r="D79" t="s">
        <v>17</v>
      </c>
      <c r="E79">
        <v>5312</v>
      </c>
      <c r="F79" t="s">
        <v>18</v>
      </c>
      <c r="G79">
        <v>112</v>
      </c>
      <c r="H79" t="s">
        <v>19</v>
      </c>
      <c r="I79">
        <v>2016</v>
      </c>
      <c r="J79">
        <v>2016</v>
      </c>
      <c r="K79" t="s">
        <v>20</v>
      </c>
      <c r="L79">
        <v>108082</v>
      </c>
      <c r="M79" t="s">
        <v>21</v>
      </c>
      <c r="N79" t="s">
        <v>22</v>
      </c>
      <c r="O79" t="s">
        <v>23</v>
      </c>
    </row>
    <row r="80" spans="1:15">
      <c r="A80" t="s">
        <v>15</v>
      </c>
      <c r="B80" t="s">
        <v>16</v>
      </c>
      <c r="C80">
        <v>706</v>
      </c>
      <c r="D80" t="s">
        <v>17</v>
      </c>
      <c r="E80">
        <v>5510</v>
      </c>
      <c r="F80" t="s">
        <v>26</v>
      </c>
      <c r="G80">
        <v>112</v>
      </c>
      <c r="H80" t="s">
        <v>19</v>
      </c>
      <c r="I80">
        <v>2015</v>
      </c>
      <c r="J80">
        <v>2015</v>
      </c>
      <c r="K80" t="s">
        <v>27</v>
      </c>
      <c r="L80">
        <v>116000</v>
      </c>
      <c r="M80" t="s">
        <v>21</v>
      </c>
      <c r="N80" t="s">
        <v>22</v>
      </c>
      <c r="O80" t="s">
        <v>23</v>
      </c>
    </row>
    <row r="81" spans="1:15">
      <c r="A81" t="s">
        <v>15</v>
      </c>
      <c r="B81" t="s">
        <v>16</v>
      </c>
      <c r="C81">
        <v>706</v>
      </c>
      <c r="D81" t="s">
        <v>17</v>
      </c>
      <c r="E81">
        <v>5312</v>
      </c>
      <c r="F81" t="s">
        <v>18</v>
      </c>
      <c r="G81">
        <v>112</v>
      </c>
      <c r="H81" t="s">
        <v>19</v>
      </c>
      <c r="I81">
        <v>2013</v>
      </c>
      <c r="J81">
        <v>2013</v>
      </c>
      <c r="K81" t="s">
        <v>20</v>
      </c>
      <c r="L81">
        <v>123556</v>
      </c>
      <c r="M81" t="s">
        <v>21</v>
      </c>
      <c r="N81" t="s">
        <v>22</v>
      </c>
      <c r="O81" t="s">
        <v>23</v>
      </c>
    </row>
    <row r="82" spans="1:15">
      <c r="A82" t="s">
        <v>15</v>
      </c>
      <c r="B82" t="s">
        <v>16</v>
      </c>
      <c r="C82">
        <v>706</v>
      </c>
      <c r="D82" t="s">
        <v>17</v>
      </c>
      <c r="E82">
        <v>5510</v>
      </c>
      <c r="F82" t="s">
        <v>26</v>
      </c>
      <c r="G82">
        <v>114</v>
      </c>
      <c r="H82" t="s">
        <v>33</v>
      </c>
      <c r="I82">
        <v>2019</v>
      </c>
      <c r="J82">
        <v>2019</v>
      </c>
      <c r="K82" t="s">
        <v>27</v>
      </c>
      <c r="L82">
        <v>125000</v>
      </c>
      <c r="M82" t="s">
        <v>21</v>
      </c>
      <c r="N82" t="s">
        <v>22</v>
      </c>
      <c r="O82" t="s">
        <v>23</v>
      </c>
    </row>
    <row r="83" spans="1:15">
      <c r="A83" t="s">
        <v>15</v>
      </c>
      <c r="B83" t="s">
        <v>16</v>
      </c>
      <c r="C83">
        <v>706</v>
      </c>
      <c r="D83" t="s">
        <v>17</v>
      </c>
      <c r="E83">
        <v>5510</v>
      </c>
      <c r="F83" t="s">
        <v>26</v>
      </c>
      <c r="G83">
        <v>114</v>
      </c>
      <c r="H83" t="s">
        <v>33</v>
      </c>
      <c r="I83">
        <v>2018</v>
      </c>
      <c r="J83">
        <v>2018</v>
      </c>
      <c r="K83" t="s">
        <v>27</v>
      </c>
      <c r="L83">
        <v>130000</v>
      </c>
      <c r="M83" t="s">
        <v>21</v>
      </c>
      <c r="N83" t="s">
        <v>22</v>
      </c>
      <c r="O83" t="s">
        <v>23</v>
      </c>
    </row>
    <row r="84" spans="1:15">
      <c r="A84" t="s">
        <v>15</v>
      </c>
      <c r="B84" t="s">
        <v>16</v>
      </c>
      <c r="C84">
        <v>706</v>
      </c>
      <c r="D84" t="s">
        <v>17</v>
      </c>
      <c r="E84">
        <v>5510</v>
      </c>
      <c r="F84" t="s">
        <v>26</v>
      </c>
      <c r="G84">
        <v>114</v>
      </c>
      <c r="H84" t="s">
        <v>33</v>
      </c>
      <c r="I84">
        <v>2015</v>
      </c>
      <c r="J84">
        <v>2015</v>
      </c>
      <c r="K84" t="s">
        <v>27</v>
      </c>
      <c r="L84">
        <v>146000</v>
      </c>
      <c r="M84" t="s">
        <v>21</v>
      </c>
      <c r="N84" t="s">
        <v>22</v>
      </c>
      <c r="O84" t="s">
        <v>23</v>
      </c>
    </row>
    <row r="85" spans="1:15">
      <c r="A85" t="s">
        <v>15</v>
      </c>
      <c r="B85" t="s">
        <v>16</v>
      </c>
      <c r="C85">
        <v>706</v>
      </c>
      <c r="D85" t="s">
        <v>17</v>
      </c>
      <c r="E85">
        <v>5510</v>
      </c>
      <c r="F85" t="s">
        <v>26</v>
      </c>
      <c r="G85">
        <v>114</v>
      </c>
      <c r="H85" t="s">
        <v>33</v>
      </c>
      <c r="I85">
        <v>2014</v>
      </c>
      <c r="J85">
        <v>2014</v>
      </c>
      <c r="K85" t="s">
        <v>27</v>
      </c>
      <c r="L85">
        <v>148000</v>
      </c>
      <c r="M85" t="s">
        <v>21</v>
      </c>
      <c r="N85" t="s">
        <v>22</v>
      </c>
      <c r="O85" t="s">
        <v>23</v>
      </c>
    </row>
    <row r="86" spans="1:15">
      <c r="A86" t="s">
        <v>15</v>
      </c>
      <c r="B86" t="s">
        <v>16</v>
      </c>
      <c r="C86">
        <v>706</v>
      </c>
      <c r="D86" t="s">
        <v>17</v>
      </c>
      <c r="E86">
        <v>5510</v>
      </c>
      <c r="F86" t="s">
        <v>26</v>
      </c>
      <c r="G86">
        <v>112</v>
      </c>
      <c r="H86" t="s">
        <v>19</v>
      </c>
      <c r="I86">
        <v>2013</v>
      </c>
      <c r="J86">
        <v>2013</v>
      </c>
      <c r="K86" t="s">
        <v>27</v>
      </c>
      <c r="L86">
        <v>149497</v>
      </c>
      <c r="M86" t="s">
        <v>21</v>
      </c>
      <c r="N86" t="s">
        <v>22</v>
      </c>
      <c r="O86" t="s">
        <v>23</v>
      </c>
    </row>
    <row r="87" spans="1:15">
      <c r="A87" t="s">
        <v>15</v>
      </c>
      <c r="B87" t="s">
        <v>16</v>
      </c>
      <c r="C87">
        <v>706</v>
      </c>
      <c r="D87" t="s">
        <v>17</v>
      </c>
      <c r="E87">
        <v>5312</v>
      </c>
      <c r="F87" t="s">
        <v>18</v>
      </c>
      <c r="G87">
        <v>112</v>
      </c>
      <c r="H87" t="s">
        <v>19</v>
      </c>
      <c r="I87">
        <v>2014</v>
      </c>
      <c r="J87">
        <v>2014</v>
      </c>
      <c r="K87" t="s">
        <v>20</v>
      </c>
      <c r="L87">
        <v>163180</v>
      </c>
      <c r="M87" t="s">
        <v>21</v>
      </c>
      <c r="N87" t="s">
        <v>22</v>
      </c>
      <c r="O87" t="s">
        <v>23</v>
      </c>
    </row>
    <row r="88" spans="1:15">
      <c r="A88" t="s">
        <v>15</v>
      </c>
      <c r="B88" t="s">
        <v>16</v>
      </c>
      <c r="C88">
        <v>706</v>
      </c>
      <c r="D88" t="s">
        <v>17</v>
      </c>
      <c r="E88">
        <v>5312</v>
      </c>
      <c r="F88" t="s">
        <v>18</v>
      </c>
      <c r="G88">
        <v>114</v>
      </c>
      <c r="H88" t="s">
        <v>33</v>
      </c>
      <c r="I88">
        <v>2016</v>
      </c>
      <c r="J88">
        <v>2016</v>
      </c>
      <c r="K88" t="s">
        <v>20</v>
      </c>
      <c r="L88">
        <v>169245</v>
      </c>
      <c r="M88" t="s">
        <v>21</v>
      </c>
      <c r="N88" t="s">
        <v>22</v>
      </c>
      <c r="O88" t="s">
        <v>23</v>
      </c>
    </row>
    <row r="89" spans="1:15">
      <c r="A89" t="s">
        <v>15</v>
      </c>
      <c r="B89" t="s">
        <v>16</v>
      </c>
      <c r="C89">
        <v>706</v>
      </c>
      <c r="D89" t="s">
        <v>17</v>
      </c>
      <c r="E89">
        <v>5312</v>
      </c>
      <c r="F89" t="s">
        <v>18</v>
      </c>
      <c r="G89">
        <v>112</v>
      </c>
      <c r="H89" t="s">
        <v>19</v>
      </c>
      <c r="I89">
        <v>2015</v>
      </c>
      <c r="J89">
        <v>2015</v>
      </c>
      <c r="K89" t="s">
        <v>20</v>
      </c>
      <c r="L89">
        <v>189825</v>
      </c>
      <c r="M89" t="s">
        <v>21</v>
      </c>
      <c r="N89" t="s">
        <v>22</v>
      </c>
      <c r="O89" t="s">
        <v>23</v>
      </c>
    </row>
    <row r="90" spans="1:15">
      <c r="A90" t="s">
        <v>15</v>
      </c>
      <c r="B90" t="s">
        <v>16</v>
      </c>
      <c r="C90">
        <v>706</v>
      </c>
      <c r="D90" t="s">
        <v>17</v>
      </c>
      <c r="E90">
        <v>5510</v>
      </c>
      <c r="F90" t="s">
        <v>26</v>
      </c>
      <c r="G90">
        <v>114</v>
      </c>
      <c r="H90" t="s">
        <v>33</v>
      </c>
      <c r="I90">
        <v>2013</v>
      </c>
      <c r="J90">
        <v>2013</v>
      </c>
      <c r="K90" t="s">
        <v>27</v>
      </c>
      <c r="L90">
        <v>230776</v>
      </c>
      <c r="M90" t="s">
        <v>21</v>
      </c>
      <c r="N90" t="s">
        <v>22</v>
      </c>
      <c r="O90" t="s">
        <v>23</v>
      </c>
    </row>
    <row r="91" spans="1:15">
      <c r="A91" t="s">
        <v>15</v>
      </c>
      <c r="B91" t="s">
        <v>16</v>
      </c>
      <c r="C91">
        <v>706</v>
      </c>
      <c r="D91" t="s">
        <v>17</v>
      </c>
      <c r="E91">
        <v>5312</v>
      </c>
      <c r="F91" t="s">
        <v>18</v>
      </c>
      <c r="G91">
        <v>114</v>
      </c>
      <c r="H91" t="s">
        <v>33</v>
      </c>
      <c r="I91">
        <v>2018</v>
      </c>
      <c r="J91">
        <v>2018</v>
      </c>
      <c r="K91" t="s">
        <v>20</v>
      </c>
      <c r="L91">
        <v>234000</v>
      </c>
      <c r="M91" t="s">
        <v>21</v>
      </c>
      <c r="N91" t="s">
        <v>22</v>
      </c>
      <c r="O91" t="s">
        <v>23</v>
      </c>
    </row>
    <row r="92" spans="1:15">
      <c r="A92" t="s">
        <v>15</v>
      </c>
      <c r="B92" t="s">
        <v>16</v>
      </c>
      <c r="C92">
        <v>706</v>
      </c>
      <c r="D92" t="s">
        <v>17</v>
      </c>
      <c r="E92">
        <v>5312</v>
      </c>
      <c r="F92" t="s">
        <v>18</v>
      </c>
      <c r="G92">
        <v>114</v>
      </c>
      <c r="H92" t="s">
        <v>33</v>
      </c>
      <c r="I92">
        <v>2017</v>
      </c>
      <c r="J92">
        <v>2017</v>
      </c>
      <c r="K92" t="s">
        <v>20</v>
      </c>
      <c r="L92">
        <v>241000</v>
      </c>
      <c r="M92" t="s">
        <v>21</v>
      </c>
      <c r="N92" t="s">
        <v>22</v>
      </c>
      <c r="O92" t="s">
        <v>23</v>
      </c>
    </row>
    <row r="93" spans="1:15">
      <c r="A93" t="s">
        <v>15</v>
      </c>
      <c r="B93" t="s">
        <v>16</v>
      </c>
      <c r="C93">
        <v>706</v>
      </c>
      <c r="D93" t="s">
        <v>17</v>
      </c>
      <c r="E93">
        <v>5312</v>
      </c>
      <c r="F93" t="s">
        <v>18</v>
      </c>
      <c r="G93">
        <v>114</v>
      </c>
      <c r="H93" t="s">
        <v>33</v>
      </c>
      <c r="I93">
        <v>2019</v>
      </c>
      <c r="J93">
        <v>2019</v>
      </c>
      <c r="K93" t="s">
        <v>20</v>
      </c>
      <c r="L93">
        <v>250000</v>
      </c>
      <c r="M93" t="s">
        <v>21</v>
      </c>
      <c r="N93" t="s">
        <v>22</v>
      </c>
      <c r="O93" t="s">
        <v>23</v>
      </c>
    </row>
    <row r="94" spans="1:15">
      <c r="A94" t="s">
        <v>15</v>
      </c>
      <c r="B94" t="s">
        <v>16</v>
      </c>
      <c r="C94">
        <v>706</v>
      </c>
      <c r="D94" t="s">
        <v>17</v>
      </c>
      <c r="E94">
        <v>5312</v>
      </c>
      <c r="F94" t="s">
        <v>18</v>
      </c>
      <c r="G94">
        <v>114</v>
      </c>
      <c r="H94" t="s">
        <v>33</v>
      </c>
      <c r="I94">
        <v>2020</v>
      </c>
      <c r="J94">
        <v>2020</v>
      </c>
      <c r="K94" t="s">
        <v>20</v>
      </c>
      <c r="L94">
        <v>250000</v>
      </c>
      <c r="M94" t="s">
        <v>21</v>
      </c>
      <c r="N94" t="s">
        <v>22</v>
      </c>
      <c r="O94" t="s">
        <v>23</v>
      </c>
    </row>
    <row r="95" spans="1:15">
      <c r="A95" t="s">
        <v>15</v>
      </c>
      <c r="B95" t="s">
        <v>16</v>
      </c>
      <c r="C95">
        <v>706</v>
      </c>
      <c r="D95" t="s">
        <v>17</v>
      </c>
      <c r="E95">
        <v>5312</v>
      </c>
      <c r="F95" t="s">
        <v>18</v>
      </c>
      <c r="G95">
        <v>114</v>
      </c>
      <c r="H95" t="s">
        <v>33</v>
      </c>
      <c r="I95">
        <v>2021</v>
      </c>
      <c r="J95">
        <v>2021</v>
      </c>
      <c r="K95" t="s">
        <v>20</v>
      </c>
      <c r="L95">
        <v>250000</v>
      </c>
      <c r="M95" t="s">
        <v>21</v>
      </c>
      <c r="N95" t="s">
        <v>22</v>
      </c>
      <c r="O95" t="s">
        <v>23</v>
      </c>
    </row>
    <row r="96" spans="1:15">
      <c r="A96" t="s">
        <v>15</v>
      </c>
      <c r="B96" t="s">
        <v>16</v>
      </c>
      <c r="C96">
        <v>706</v>
      </c>
      <c r="D96" t="s">
        <v>17</v>
      </c>
      <c r="E96">
        <v>5312</v>
      </c>
      <c r="F96" t="s">
        <v>18</v>
      </c>
      <c r="G96">
        <v>114</v>
      </c>
      <c r="H96" t="s">
        <v>33</v>
      </c>
      <c r="I96">
        <v>2022</v>
      </c>
      <c r="J96">
        <v>2022</v>
      </c>
      <c r="K96" t="s">
        <v>20</v>
      </c>
      <c r="L96">
        <v>250000</v>
      </c>
      <c r="M96" t="s">
        <v>21</v>
      </c>
      <c r="N96" t="s">
        <v>22</v>
      </c>
      <c r="O96" t="s">
        <v>23</v>
      </c>
    </row>
    <row r="97" spans="1:15">
      <c r="A97" t="s">
        <v>15</v>
      </c>
      <c r="B97" t="s">
        <v>16</v>
      </c>
      <c r="C97">
        <v>706</v>
      </c>
      <c r="D97" t="s">
        <v>17</v>
      </c>
      <c r="E97">
        <v>5312</v>
      </c>
      <c r="F97" t="s">
        <v>18</v>
      </c>
      <c r="G97">
        <v>114</v>
      </c>
      <c r="H97" t="s">
        <v>33</v>
      </c>
      <c r="I97">
        <v>2023</v>
      </c>
      <c r="J97">
        <v>2023</v>
      </c>
      <c r="K97" t="s">
        <v>20</v>
      </c>
      <c r="L97">
        <v>250000</v>
      </c>
      <c r="M97" t="s">
        <v>21</v>
      </c>
      <c r="N97" t="s">
        <v>22</v>
      </c>
      <c r="O97" t="s">
        <v>23</v>
      </c>
    </row>
    <row r="98" spans="1:15">
      <c r="A98" t="s">
        <v>15</v>
      </c>
      <c r="B98" t="s">
        <v>16</v>
      </c>
      <c r="C98">
        <v>706</v>
      </c>
      <c r="D98" t="s">
        <v>17</v>
      </c>
      <c r="E98">
        <v>5312</v>
      </c>
      <c r="F98" t="s">
        <v>18</v>
      </c>
      <c r="G98">
        <v>114</v>
      </c>
      <c r="H98" t="s">
        <v>33</v>
      </c>
      <c r="I98">
        <v>2015</v>
      </c>
      <c r="J98">
        <v>2015</v>
      </c>
      <c r="K98" t="s">
        <v>20</v>
      </c>
      <c r="L98">
        <v>253272</v>
      </c>
      <c r="M98" t="s">
        <v>21</v>
      </c>
      <c r="N98" t="s">
        <v>22</v>
      </c>
      <c r="O98" t="s">
        <v>23</v>
      </c>
    </row>
    <row r="99" spans="1:15">
      <c r="A99" t="s">
        <v>15</v>
      </c>
      <c r="B99" t="s">
        <v>16</v>
      </c>
      <c r="C99">
        <v>706</v>
      </c>
      <c r="D99" t="s">
        <v>17</v>
      </c>
      <c r="E99">
        <v>5312</v>
      </c>
      <c r="F99" t="s">
        <v>18</v>
      </c>
      <c r="G99">
        <v>114</v>
      </c>
      <c r="H99" t="s">
        <v>33</v>
      </c>
      <c r="I99">
        <v>2013</v>
      </c>
      <c r="J99">
        <v>2013</v>
      </c>
      <c r="K99" t="s">
        <v>20</v>
      </c>
      <c r="L99">
        <v>270144</v>
      </c>
      <c r="M99" t="s">
        <v>21</v>
      </c>
      <c r="N99" t="s">
        <v>22</v>
      </c>
      <c r="O99" t="s">
        <v>23</v>
      </c>
    </row>
    <row r="100" spans="1:15">
      <c r="A100" t="s">
        <v>15</v>
      </c>
      <c r="B100" t="s">
        <v>16</v>
      </c>
      <c r="C100">
        <v>706</v>
      </c>
      <c r="D100" t="s">
        <v>17</v>
      </c>
      <c r="E100">
        <v>5312</v>
      </c>
      <c r="F100" t="s">
        <v>18</v>
      </c>
      <c r="G100">
        <v>114</v>
      </c>
      <c r="H100" t="s">
        <v>33</v>
      </c>
      <c r="I100">
        <v>2014</v>
      </c>
      <c r="J100">
        <v>2014</v>
      </c>
      <c r="K100" t="s">
        <v>20</v>
      </c>
      <c r="L100">
        <v>274200</v>
      </c>
      <c r="M100" t="s">
        <v>21</v>
      </c>
      <c r="N100" t="s">
        <v>22</v>
      </c>
      <c r="O100" t="s">
        <v>23</v>
      </c>
    </row>
  </sheetData>
  <conditionalFormatting sqref="L1">
    <cfRule type="top10" dxfId="3" priority="3" bottom="1" rank="10"/>
    <cfRule type="top10" dxfId="2" priority="4" rank="10"/>
  </conditionalFormatting>
  <conditionalFormatting sqref="L1:L100">
    <cfRule type="top10" dxfId="1" priority="1" bottom="1" rank="10"/>
    <cfRule type="top10" dxfId="0" priority="2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0"/>
  <sheetViews>
    <sheetView workbookViewId="0">
      <selection activeCell="D19" sqref="D19"/>
    </sheetView>
  </sheetViews>
  <sheetFormatPr defaultRowHeight="15"/>
  <cols>
    <col min="2" max="2" width="8.7109375" bestFit="1" customWidth="1"/>
    <col min="3" max="3" width="74.140625" bestFit="1" customWidth="1"/>
    <col min="4" max="4" width="52.42578125" bestFit="1" customWidth="1"/>
  </cols>
  <sheetData>
    <row r="4" spans="2:4" ht="15.75">
      <c r="B4" s="12" t="s">
        <v>61</v>
      </c>
      <c r="C4" s="12" t="s">
        <v>62</v>
      </c>
      <c r="D4" s="12" t="s">
        <v>63</v>
      </c>
    </row>
    <row r="5" spans="2:4">
      <c r="B5">
        <v>1</v>
      </c>
      <c r="C5" t="s">
        <v>64</v>
      </c>
      <c r="D5" t="s">
        <v>65</v>
      </c>
    </row>
    <row r="6" spans="2:4">
      <c r="B6">
        <v>2</v>
      </c>
      <c r="C6" t="s">
        <v>88</v>
      </c>
      <c r="D6" t="s">
        <v>68</v>
      </c>
    </row>
    <row r="7" spans="2:4">
      <c r="B7">
        <v>3</v>
      </c>
      <c r="C7" t="s">
        <v>89</v>
      </c>
      <c r="D7" t="s">
        <v>69</v>
      </c>
    </row>
    <row r="8" spans="2:4">
      <c r="B8">
        <v>4</v>
      </c>
      <c r="C8" t="s">
        <v>66</v>
      </c>
      <c r="D8" t="s">
        <v>70</v>
      </c>
    </row>
    <row r="9" spans="2:4">
      <c r="B9">
        <v>5</v>
      </c>
      <c r="C9" t="s">
        <v>67</v>
      </c>
      <c r="D9" t="s">
        <v>71</v>
      </c>
    </row>
    <row r="10" spans="2:4">
      <c r="B10">
        <v>6</v>
      </c>
      <c r="C10" t="s">
        <v>85</v>
      </c>
      <c r="D10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6" sqref="D6"/>
    </sheetView>
  </sheetViews>
  <sheetFormatPr defaultRowHeight="15"/>
  <cols>
    <col min="1" max="1" width="12" bestFit="1" customWidth="1"/>
    <col min="2" max="2" width="13.28515625" bestFit="1" customWidth="1"/>
    <col min="3" max="3" width="9" customWidth="1"/>
    <col min="4" max="4" width="10" customWidth="1"/>
    <col min="5" max="5" width="11.28515625" customWidth="1"/>
    <col min="6" max="6" width="6" customWidth="1"/>
    <col min="7" max="7" width="4" customWidth="1"/>
    <col min="8" max="8" width="6" customWidth="1"/>
    <col min="9" max="10" width="4" customWidth="1"/>
    <col min="11" max="13" width="6" customWidth="1"/>
    <col min="14" max="14" width="4" customWidth="1"/>
    <col min="15" max="15" width="6" customWidth="1"/>
    <col min="16" max="16" width="4" customWidth="1"/>
    <col min="17" max="17" width="6" customWidth="1"/>
    <col min="18" max="18" width="4" customWidth="1"/>
    <col min="19" max="19" width="6" customWidth="1"/>
    <col min="20" max="22" width="4" customWidth="1"/>
    <col min="23" max="23" width="6" customWidth="1"/>
    <col min="24" max="25" width="4" customWidth="1"/>
    <col min="26" max="28" width="5" customWidth="1"/>
    <col min="29" max="29" width="7" customWidth="1"/>
    <col min="30" max="33" width="5" customWidth="1"/>
    <col min="34" max="34" width="7" customWidth="1"/>
    <col min="35" max="35" width="8" customWidth="1"/>
    <col min="36" max="36" width="7" customWidth="1"/>
    <col min="37" max="37" width="5" customWidth="1"/>
    <col min="38" max="38" width="7" customWidth="1"/>
    <col min="39" max="39" width="8" customWidth="1"/>
    <col min="40" max="40" width="7" customWidth="1"/>
    <col min="41" max="42" width="5" customWidth="1"/>
    <col min="43" max="43" width="8" customWidth="1"/>
    <col min="44" max="44" width="7" customWidth="1"/>
    <col min="45" max="45" width="5" customWidth="1"/>
    <col min="46" max="46" width="8" customWidth="1"/>
    <col min="47" max="47" width="5" customWidth="1"/>
    <col min="48" max="59" width="6" customWidth="1"/>
    <col min="60" max="80" width="7" customWidth="1"/>
    <col min="81" max="81" width="11.28515625" bestFit="1" customWidth="1"/>
  </cols>
  <sheetData>
    <row r="1" spans="1:2">
      <c r="A1" s="4" t="s">
        <v>5</v>
      </c>
      <c r="B1" t="s">
        <v>26</v>
      </c>
    </row>
    <row r="2" spans="1:2">
      <c r="A2" s="4" t="s">
        <v>9</v>
      </c>
      <c r="B2" t="s">
        <v>48</v>
      </c>
    </row>
    <row r="4" spans="1:2">
      <c r="A4" s="4" t="s">
        <v>7</v>
      </c>
      <c r="B4" t="s">
        <v>47</v>
      </c>
    </row>
    <row r="5" spans="1:2">
      <c r="A5" t="s">
        <v>33</v>
      </c>
      <c r="B5" s="6">
        <v>1256776</v>
      </c>
    </row>
    <row r="6" spans="1:2">
      <c r="A6" t="s">
        <v>19</v>
      </c>
      <c r="B6" s="6">
        <v>952497</v>
      </c>
    </row>
    <row r="7" spans="1:2">
      <c r="A7" t="s">
        <v>28</v>
      </c>
      <c r="B7" s="6">
        <v>19723.98</v>
      </c>
    </row>
    <row r="8" spans="1:2">
      <c r="A8" t="s">
        <v>46</v>
      </c>
      <c r="B8" s="6">
        <v>2228996.98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40"/>
  <sheetViews>
    <sheetView tabSelected="1" topLeftCell="A27" workbookViewId="0">
      <selection activeCell="C44" sqref="C44"/>
    </sheetView>
  </sheetViews>
  <sheetFormatPr defaultRowHeight="15"/>
  <cols>
    <col min="1" max="1" width="21.7109375" customWidth="1"/>
    <col min="2" max="2" width="24.42578125" bestFit="1" customWidth="1"/>
    <col min="3" max="3" width="94.140625" bestFit="1" customWidth="1"/>
    <col min="4" max="4" width="69.5703125" bestFit="1" customWidth="1"/>
    <col min="5" max="5" width="51.28515625" bestFit="1" customWidth="1"/>
    <col min="6" max="6" width="18.140625" bestFit="1" customWidth="1"/>
    <col min="7" max="7" width="94.140625" bestFit="1" customWidth="1"/>
  </cols>
  <sheetData>
    <row r="6" spans="2:4" ht="18.75">
      <c r="B6" s="7" t="s">
        <v>49</v>
      </c>
    </row>
    <row r="8" spans="2:4" ht="15.75">
      <c r="B8" s="2" t="s">
        <v>34</v>
      </c>
      <c r="C8" s="2" t="s">
        <v>39</v>
      </c>
      <c r="D8" s="2" t="s">
        <v>42</v>
      </c>
    </row>
    <row r="9" spans="2:4" ht="45">
      <c r="B9" s="16" t="s">
        <v>35</v>
      </c>
      <c r="C9" s="16" t="s">
        <v>40</v>
      </c>
      <c r="D9" s="14" t="s">
        <v>93</v>
      </c>
    </row>
    <row r="10" spans="2:4">
      <c r="B10" s="3" t="s">
        <v>36</v>
      </c>
      <c r="C10" s="3">
        <v>0</v>
      </c>
      <c r="D10" s="3" t="s">
        <v>43</v>
      </c>
    </row>
    <row r="11" spans="2:4">
      <c r="B11" s="3" t="s">
        <v>37</v>
      </c>
      <c r="C11" s="3" t="s">
        <v>41</v>
      </c>
      <c r="D11" s="3" t="s">
        <v>44</v>
      </c>
    </row>
    <row r="12" spans="2:4">
      <c r="B12" s="3" t="s">
        <v>38</v>
      </c>
      <c r="C12" s="3" t="s">
        <v>41</v>
      </c>
      <c r="D12" s="3" t="s">
        <v>45</v>
      </c>
    </row>
    <row r="13" spans="2:4" ht="45">
      <c r="B13" s="16" t="s">
        <v>86</v>
      </c>
      <c r="C13" s="15" t="s">
        <v>87</v>
      </c>
      <c r="D13" s="14" t="s">
        <v>94</v>
      </c>
    </row>
    <row r="15" spans="2:4" ht="18.75">
      <c r="B15" s="7" t="s">
        <v>50</v>
      </c>
    </row>
    <row r="16" spans="2:4" ht="15.75">
      <c r="B16" s="8" t="s">
        <v>51</v>
      </c>
      <c r="C16" s="8" t="s">
        <v>52</v>
      </c>
      <c r="D16" s="8" t="s">
        <v>53</v>
      </c>
    </row>
    <row r="17" spans="2:4" ht="15.75">
      <c r="B17" s="8" t="s">
        <v>33</v>
      </c>
      <c r="C17" s="9">
        <v>1256776</v>
      </c>
      <c r="D17" s="10">
        <f>C17/$C$20</f>
        <v>0.56383028387952328</v>
      </c>
    </row>
    <row r="18" spans="2:4" ht="15.75">
      <c r="B18" s="8" t="s">
        <v>19</v>
      </c>
      <c r="C18" s="9">
        <v>952497</v>
      </c>
      <c r="D18" s="10">
        <f t="shared" ref="D18:D20" si="0">C18/$C$20</f>
        <v>0.42732090197807265</v>
      </c>
    </row>
    <row r="19" spans="2:4" ht="15.75">
      <c r="B19" s="8" t="s">
        <v>28</v>
      </c>
      <c r="C19" s="11">
        <v>19723.98</v>
      </c>
      <c r="D19" s="10">
        <f t="shared" si="0"/>
        <v>8.8488141424040868E-3</v>
      </c>
    </row>
    <row r="20" spans="2:4" ht="15.75">
      <c r="B20" s="8" t="s">
        <v>46</v>
      </c>
      <c r="C20" s="9">
        <f>SUM(C17:C19)</f>
        <v>2228996.98</v>
      </c>
      <c r="D20" s="10">
        <f t="shared" si="0"/>
        <v>1</v>
      </c>
    </row>
    <row r="23" spans="2:4">
      <c r="B23" t="s">
        <v>54</v>
      </c>
      <c r="C23" t="s">
        <v>55</v>
      </c>
    </row>
    <row r="24" spans="2:4">
      <c r="B24" t="s">
        <v>56</v>
      </c>
      <c r="C24" t="s">
        <v>33</v>
      </c>
    </row>
    <row r="25" spans="2:4">
      <c r="B25" t="s">
        <v>57</v>
      </c>
      <c r="C25" t="s">
        <v>19</v>
      </c>
    </row>
    <row r="26" spans="2:4">
      <c r="B26" t="s">
        <v>58</v>
      </c>
      <c r="C26" t="s">
        <v>28</v>
      </c>
    </row>
    <row r="27" spans="2:4">
      <c r="B27" t="s">
        <v>59</v>
      </c>
      <c r="C27" s="14" t="s">
        <v>60</v>
      </c>
    </row>
    <row r="30" spans="2:4">
      <c r="B30" t="s">
        <v>75</v>
      </c>
      <c r="C30" t="s">
        <v>39</v>
      </c>
      <c r="D30" t="s">
        <v>42</v>
      </c>
    </row>
    <row r="31" spans="2:4">
      <c r="B31" t="s">
        <v>76</v>
      </c>
      <c r="C31" t="s">
        <v>79</v>
      </c>
      <c r="D31" t="s">
        <v>82</v>
      </c>
    </row>
    <row r="32" spans="2:4">
      <c r="B32" t="s">
        <v>77</v>
      </c>
      <c r="C32" t="s">
        <v>80</v>
      </c>
      <c r="D32" t="s">
        <v>83</v>
      </c>
    </row>
    <row r="33" spans="2:4">
      <c r="B33" t="s">
        <v>78</v>
      </c>
      <c r="C33" t="s">
        <v>81</v>
      </c>
      <c r="D33" t="s">
        <v>84</v>
      </c>
    </row>
    <row r="35" spans="2:4">
      <c r="B35" t="s">
        <v>90</v>
      </c>
      <c r="C35" t="s">
        <v>9</v>
      </c>
      <c r="D35" t="s">
        <v>91</v>
      </c>
    </row>
    <row r="36" spans="2:4">
      <c r="B36" t="s">
        <v>56</v>
      </c>
      <c r="C36" s="17">
        <v>2013</v>
      </c>
      <c r="D36" s="18">
        <v>230776</v>
      </c>
    </row>
    <row r="37" spans="2:4">
      <c r="B37" t="s">
        <v>58</v>
      </c>
      <c r="C37" s="17">
        <v>2021</v>
      </c>
      <c r="D37" s="18">
        <v>59000</v>
      </c>
    </row>
    <row r="40" spans="2:4">
      <c r="B40" s="1" t="s">
        <v>42</v>
      </c>
      <c r="C40" s="1" t="s">
        <v>92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1" sqref="D11"/>
    </sheetView>
  </sheetViews>
  <sheetFormatPr defaultRowHeight="15"/>
  <cols>
    <col min="1" max="1" width="8.42578125" customWidth="1"/>
    <col min="2" max="2" width="13" bestFit="1" customWidth="1"/>
    <col min="4" max="4" width="19.85546875" bestFit="1" customWidth="1"/>
  </cols>
  <sheetData>
    <row r="1" spans="1:4">
      <c r="A1" s="4" t="s">
        <v>7</v>
      </c>
      <c r="B1" t="s">
        <v>33</v>
      </c>
    </row>
    <row r="2" spans="1:4">
      <c r="A2" s="4" t="s">
        <v>5</v>
      </c>
      <c r="B2" t="s">
        <v>26</v>
      </c>
    </row>
    <row r="4" spans="1:4">
      <c r="A4" s="4" t="s">
        <v>9</v>
      </c>
      <c r="B4" t="s">
        <v>47</v>
      </c>
      <c r="D4" s="1" t="s">
        <v>73</v>
      </c>
    </row>
    <row r="5" spans="1:4">
      <c r="A5">
        <v>2013</v>
      </c>
      <c r="B5" s="5">
        <v>230776</v>
      </c>
      <c r="D5" s="13">
        <f>(B5-B15)/B5</f>
        <v>0.69234235795749988</v>
      </c>
    </row>
    <row r="6" spans="1:4">
      <c r="A6">
        <v>2014</v>
      </c>
      <c r="B6" s="5">
        <v>148000</v>
      </c>
      <c r="D6" t="s">
        <v>74</v>
      </c>
    </row>
    <row r="7" spans="1:4">
      <c r="A7">
        <v>2015</v>
      </c>
      <c r="B7" s="5">
        <v>146000</v>
      </c>
      <c r="D7">
        <f>SLOPE(B5:B15,A5:A15)</f>
        <v>-11762.545454545454</v>
      </c>
    </row>
    <row r="8" spans="1:4">
      <c r="A8">
        <v>2016</v>
      </c>
      <c r="B8" s="5">
        <v>80000</v>
      </c>
    </row>
    <row r="9" spans="1:4">
      <c r="A9">
        <v>2017</v>
      </c>
      <c r="B9" s="5">
        <v>95000</v>
      </c>
    </row>
    <row r="10" spans="1:4">
      <c r="A10">
        <v>2018</v>
      </c>
      <c r="B10" s="5">
        <v>130000</v>
      </c>
    </row>
    <row r="11" spans="1:4">
      <c r="A11">
        <v>2019</v>
      </c>
      <c r="B11" s="5">
        <v>125000</v>
      </c>
    </row>
    <row r="12" spans="1:4">
      <c r="A12">
        <v>2020</v>
      </c>
      <c r="B12" s="5">
        <v>100000</v>
      </c>
    </row>
    <row r="13" spans="1:4">
      <c r="A13">
        <v>2021</v>
      </c>
      <c r="B13" s="5">
        <v>59000</v>
      </c>
    </row>
    <row r="14" spans="1:4">
      <c r="A14">
        <v>2022</v>
      </c>
      <c r="B14" s="5">
        <v>72000</v>
      </c>
    </row>
    <row r="15" spans="1:4">
      <c r="A15">
        <v>2023</v>
      </c>
      <c r="B15" s="5">
        <v>71000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FAOSTAT_data_en_10-11-2026</vt:lpstr>
      <vt:lpstr>Research_Questions</vt:lpstr>
      <vt:lpstr>Pivot table</vt:lpstr>
      <vt:lpstr>EDA Findings</vt:lpstr>
      <vt:lpstr>Yearly_Production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Abdikadir Mo'alim</dc:creator>
  <cp:lastModifiedBy>pc</cp:lastModifiedBy>
  <dcterms:created xsi:type="dcterms:W3CDTF">2026-10-11T07:11:07Z</dcterms:created>
  <dcterms:modified xsi:type="dcterms:W3CDTF">2026-10-12T08:05:10Z</dcterms:modified>
</cp:coreProperties>
</file>